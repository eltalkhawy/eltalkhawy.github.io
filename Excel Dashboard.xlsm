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wnloads\"/>
    </mc:Choice>
  </mc:AlternateContent>
  <xr:revisionPtr revIDLastSave="0" documentId="13_ncr:1_{97454E18-EFCA-41EF-989B-AB722F8E54F2}" xr6:coauthVersionLast="41" xr6:coauthVersionMax="45" xr10:uidLastSave="{00000000-0000-0000-0000-000000000000}"/>
  <bookViews>
    <workbookView xWindow="-60" yWindow="-60" windowWidth="28920" windowHeight="15660" activeTab="1" xr2:uid="{9AE1ED62-5223-41DB-BA35-0D66ADA766FA}"/>
  </bookViews>
  <sheets>
    <sheet name="Data" sheetId="3" r:id="rId1"/>
    <sheet name="Dashboard" sheetId="1" r:id="rId2"/>
    <sheet name="Sheet1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40" i="1" l="1"/>
  <c r="F42" i="1"/>
  <c r="F40" i="1"/>
  <c r="H45" i="1"/>
  <c r="E33" i="1" s="1"/>
  <c r="H44" i="1"/>
  <c r="E32" i="1" s="1"/>
  <c r="M39" i="1"/>
  <c r="L39" i="1"/>
  <c r="K39" i="1"/>
  <c r="J39" i="1"/>
  <c r="I39" i="1"/>
  <c r="F41" i="1"/>
  <c r="H55" i="1"/>
  <c r="H54" i="1"/>
  <c r="H52" i="1"/>
  <c r="H53" i="1" s="1"/>
  <c r="I40" i="1"/>
  <c r="K40" i="1" s="1"/>
  <c r="F43" i="1"/>
  <c r="T43" i="1" l="1"/>
  <c r="T31" i="1" s="1"/>
  <c r="J40" i="1"/>
  <c r="N43" i="1"/>
  <c r="N31" i="1" s="1"/>
  <c r="L44" i="1"/>
  <c r="L32" i="1" s="1"/>
  <c r="P45" i="1"/>
  <c r="P33" i="1" s="1"/>
  <c r="O43" i="1"/>
  <c r="O31" i="1" s="1"/>
  <c r="M44" i="1"/>
  <c r="M32" i="1" s="1"/>
  <c r="I45" i="1"/>
  <c r="I33" i="1" s="1"/>
  <c r="Q45" i="1"/>
  <c r="Q33" i="1" s="1"/>
  <c r="N44" i="1"/>
  <c r="N32" i="1" s="1"/>
  <c r="R45" i="1"/>
  <c r="R33" i="1" s="1"/>
  <c r="Q43" i="1"/>
  <c r="Q31" i="1" s="1"/>
  <c r="O44" i="1"/>
  <c r="O32" i="1" s="1"/>
  <c r="J43" i="1"/>
  <c r="J31" i="1" s="1"/>
  <c r="R43" i="1"/>
  <c r="R31" i="1" s="1"/>
  <c r="T45" i="1"/>
  <c r="T33" i="1" s="1"/>
  <c r="M40" i="1" s="1"/>
  <c r="K43" i="1"/>
  <c r="K31" i="1" s="1"/>
  <c r="S43" i="1"/>
  <c r="S31" i="1" s="1"/>
  <c r="Q44" i="1"/>
  <c r="Q32" i="1" s="1"/>
  <c r="M45" i="1"/>
  <c r="M33" i="1" s="1"/>
  <c r="I44" i="1"/>
  <c r="I32" i="1" s="1"/>
  <c r="T44" i="1"/>
  <c r="T32" i="1" s="1"/>
  <c r="L40" i="1" s="1"/>
  <c r="K45" i="1"/>
  <c r="K33" i="1" s="1"/>
  <c r="L45" i="1"/>
  <c r="L33" i="1" s="1"/>
  <c r="L43" i="1"/>
  <c r="L31" i="1" s="1"/>
  <c r="J44" i="1"/>
  <c r="J32" i="1" s="1"/>
  <c r="R44" i="1"/>
  <c r="R32" i="1" s="1"/>
  <c r="N45" i="1"/>
  <c r="N33" i="1" s="1"/>
  <c r="P43" i="1"/>
  <c r="P31" i="1" s="1"/>
  <c r="J45" i="1"/>
  <c r="J33" i="1" s="1"/>
  <c r="I43" i="1"/>
  <c r="I31" i="1" s="1"/>
  <c r="S45" i="1"/>
  <c r="S33" i="1" s="1"/>
  <c r="P44" i="1"/>
  <c r="P32" i="1" s="1"/>
  <c r="M43" i="1"/>
  <c r="M31" i="1" s="1"/>
  <c r="K44" i="1"/>
  <c r="K32" i="1" s="1"/>
  <c r="S44" i="1"/>
  <c r="S32" i="1" s="1"/>
  <c r="O45" i="1"/>
  <c r="O33" i="1" s="1"/>
</calcChain>
</file>

<file path=xl/sharedStrings.xml><?xml version="1.0" encoding="utf-8"?>
<sst xmlns="http://schemas.openxmlformats.org/spreadsheetml/2006/main" count="39" uniqueCount="35">
  <si>
    <t>Product 01</t>
  </si>
  <si>
    <t>Product 02</t>
  </si>
  <si>
    <t>Product 03</t>
  </si>
  <si>
    <t>Product 04</t>
  </si>
  <si>
    <t>Product 05</t>
  </si>
  <si>
    <t>Product 06</t>
  </si>
  <si>
    <t>Product 07</t>
  </si>
  <si>
    <t>Product 08</t>
  </si>
  <si>
    <t>Product 09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</si>
  <si>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</si>
  <si>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</si>
  <si>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</si>
  <si>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</si>
  <si>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</si>
  <si>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</si>
  <si>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</si>
  <si>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</si>
  <si>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</si>
  <si>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</si>
  <si>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</si>
  <si>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</si>
  <si>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</si>
  <si>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</si>
  <si>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</si>
  <si>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</si>
  <si>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Actual</t>
  </si>
  <si>
    <t>اسم المبني</t>
  </si>
  <si>
    <t>Month Offset</t>
  </si>
  <si>
    <t>Basic Offset</t>
  </si>
  <si>
    <t>History Offset, Length</t>
  </si>
  <si>
    <t>Product Name</t>
  </si>
  <si>
    <t>Planned Finish Date</t>
  </si>
  <si>
    <t>Forcasted Finish Date</t>
  </si>
  <si>
    <t>Planned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</si>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</sst>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\-mmm\-yyyy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</font>
    <font>
      <sz val="16"/>
      <color theme="0"/>
      <name val="Arial"/>
      <family val="2"/>
    </font>
    <font>
      <sz val="16"/>
      <color indexed="8"/>
      <name val="Arial"/>
      <family val="2"/>
    </font>
    <font>
      <sz val="14"/>
      <name val="Arial"/>
      <family val="2"/>
    </font>
    <font>
      <sz val="11"/>
      <color theme="0"/>
      <name val="Calibri"/>
      <family val="2"/>
    </font>
    <font>
      <sz val="11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</cellStyleXfs>
  <cellXfs count="67">
    <xf numFmtId="0" fontId="0" fillId="0" borderId="0" xfId="0"/>
    <xf numFmtId="0" fontId="0" fillId="3" borderId="0" xfId="0" applyFill="1"/>
    <xf numFmtId="0" fontId="0" fillId="2" borderId="0" xfId="0" applyFill="1" applyAlignment="1">
      <alignment horizontal="center" vertical="center"/>
    </xf>
    <xf numFmtId="17" fontId="0" fillId="4" borderId="1" xfId="0" applyNumberFormat="1" applyFill="1" applyBorder="1" applyAlignment="1">
      <alignment horizontal="center" vertical="center"/>
    </xf>
    <xf numFmtId="17" fontId="0" fillId="4" borderId="2" xfId="0" applyNumberFormat="1" applyFill="1" applyBorder="1" applyAlignment="1">
      <alignment horizontal="center" vertical="center"/>
    </xf>
    <xf numFmtId="17" fontId="0" fillId="4" borderId="3" xfId="0" applyNumberFormat="1" applyFill="1" applyBorder="1" applyAlignment="1">
      <alignment horizontal="center" vertical="center"/>
    </xf>
    <xf numFmtId="17" fontId="0" fillId="5" borderId="1" xfId="0" applyNumberFormat="1" applyFill="1" applyBorder="1" applyAlignment="1">
      <alignment horizontal="center" vertical="center"/>
    </xf>
    <xf numFmtId="17" fontId="0" fillId="5" borderId="2" xfId="0" applyNumberFormat="1" applyFill="1" applyBorder="1" applyAlignment="1">
      <alignment horizontal="center" vertical="center"/>
    </xf>
    <xf numFmtId="17" fontId="0" fillId="5" borderId="3" xfId="0" applyNumberForma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readingOrder="2"/>
    </xf>
    <xf numFmtId="0" fontId="0" fillId="11" borderId="4" xfId="0" applyFill="1" applyBorder="1"/>
    <xf numFmtId="17" fontId="5" fillId="11" borderId="4" xfId="0" applyNumberFormat="1" applyFont="1" applyFill="1" applyBorder="1"/>
    <xf numFmtId="0" fontId="0" fillId="0" borderId="0" xfId="0" applyFont="1" applyAlignment="1">
      <alignment horizontal="center"/>
    </xf>
    <xf numFmtId="0" fontId="0" fillId="0" borderId="22" xfId="0" applyFont="1" applyBorder="1" applyAlignment="1">
      <alignment horizontal="center"/>
    </xf>
    <xf numFmtId="17" fontId="6" fillId="12" borderId="4" xfId="0" applyNumberFormat="1" applyFont="1" applyFill="1" applyBorder="1" applyAlignment="1">
      <alignment horizontal="center" vertical="center" readingOrder="1"/>
    </xf>
    <xf numFmtId="0" fontId="7" fillId="0" borderId="4" xfId="0" applyFont="1" applyBorder="1" applyAlignment="1">
      <alignment horizontal="center"/>
    </xf>
    <xf numFmtId="10" fontId="8" fillId="0" borderId="4" xfId="1" applyNumberFormat="1" applyFont="1" applyFill="1" applyBorder="1" applyAlignment="1">
      <alignment horizontal="center" vertical="center" readingOrder="1"/>
    </xf>
    <xf numFmtId="0" fontId="9" fillId="0" borderId="0" xfId="0" applyFont="1"/>
    <xf numFmtId="0" fontId="9" fillId="0" borderId="0" xfId="0" applyFont="1" applyFill="1" applyBorder="1" applyAlignment="1">
      <alignment vertical="center"/>
    </xf>
    <xf numFmtId="165" fontId="2" fillId="10" borderId="17" xfId="5" applyNumberFormat="1" applyBorder="1" applyAlignment="1">
      <alignment horizontal="center" vertical="center" readingOrder="1"/>
    </xf>
    <xf numFmtId="10" fontId="2" fillId="10" borderId="17" xfId="1" applyNumberFormat="1" applyFill="1" applyBorder="1" applyAlignment="1">
      <alignment horizontal="center" vertical="center" readingOrder="1"/>
    </xf>
    <xf numFmtId="17" fontId="0" fillId="11" borderId="0" xfId="0" applyNumberFormat="1" applyFill="1"/>
    <xf numFmtId="0" fontId="0" fillId="0" borderId="24" xfId="0" applyFill="1" applyBorder="1" applyAlignment="1">
      <alignment vertical="center"/>
    </xf>
    <xf numFmtId="0" fontId="5" fillId="0" borderId="0" xfId="0" applyFont="1" applyFill="1"/>
    <xf numFmtId="0" fontId="5" fillId="0" borderId="0" xfId="0" applyFont="1"/>
    <xf numFmtId="0" fontId="5" fillId="0" borderId="4" xfId="0" applyFont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" fontId="5" fillId="11" borderId="0" xfId="0" applyNumberFormat="1" applyFont="1" applyFill="1"/>
    <xf numFmtId="17" fontId="10" fillId="0" borderId="23" xfId="0" applyNumberFormat="1" applyFont="1" applyBorder="1" applyAlignment="1">
      <alignment horizontal="center" vertical="center" readingOrder="1"/>
    </xf>
    <xf numFmtId="10" fontId="5" fillId="0" borderId="4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 vertical="center"/>
    </xf>
    <xf numFmtId="10" fontId="0" fillId="2" borderId="5" xfId="1" applyNumberFormat="1" applyFont="1" applyFill="1" applyBorder="1" applyAlignment="1">
      <alignment horizontal="center" vertical="center"/>
    </xf>
    <xf numFmtId="10" fontId="0" fillId="2" borderId="6" xfId="1" applyNumberFormat="1" applyFont="1" applyFill="1" applyBorder="1" applyAlignment="1">
      <alignment horizontal="center" vertical="center"/>
    </xf>
    <xf numFmtId="10" fontId="0" fillId="2" borderId="10" xfId="1" applyNumberFormat="1" applyFont="1" applyFill="1" applyBorder="1" applyAlignment="1">
      <alignment horizontal="center" vertical="center"/>
    </xf>
    <xf numFmtId="10" fontId="0" fillId="3" borderId="10" xfId="1" applyNumberFormat="1" applyFont="1" applyFill="1" applyBorder="1" applyAlignment="1">
      <alignment horizontal="center" vertical="center"/>
    </xf>
    <xf numFmtId="10" fontId="0" fillId="3" borderId="5" xfId="1" applyNumberFormat="1" applyFont="1" applyFill="1" applyBorder="1" applyAlignment="1">
      <alignment horizontal="center" vertical="center"/>
    </xf>
    <xf numFmtId="10" fontId="0" fillId="3" borderId="6" xfId="1" applyNumberFormat="1" applyFont="1" applyFill="1" applyBorder="1" applyAlignment="1">
      <alignment horizontal="center" vertical="center"/>
    </xf>
    <xf numFmtId="10" fontId="0" fillId="2" borderId="17" xfId="1" applyNumberFormat="1" applyFont="1" applyFill="1" applyBorder="1" applyAlignment="1">
      <alignment horizontal="center" vertical="center"/>
    </xf>
    <xf numFmtId="10" fontId="0" fillId="2" borderId="4" xfId="1" applyNumberFormat="1" applyFont="1" applyFill="1" applyBorder="1" applyAlignment="1">
      <alignment horizontal="center" vertical="center"/>
    </xf>
    <xf numFmtId="10" fontId="0" fillId="2" borderId="7" xfId="1" applyNumberFormat="1" applyFont="1" applyFill="1" applyBorder="1" applyAlignment="1">
      <alignment horizontal="center" vertical="center"/>
    </xf>
    <xf numFmtId="10" fontId="0" fillId="2" borderId="11" xfId="1" applyNumberFormat="1" applyFont="1" applyFill="1" applyBorder="1" applyAlignment="1">
      <alignment horizontal="center" vertical="center"/>
    </xf>
    <xf numFmtId="10" fontId="0" fillId="3" borderId="11" xfId="1" applyNumberFormat="1" applyFont="1" applyFill="1" applyBorder="1" applyAlignment="1">
      <alignment horizontal="center" vertical="center"/>
    </xf>
    <xf numFmtId="10" fontId="0" fillId="3" borderId="4" xfId="1" applyNumberFormat="1" applyFont="1" applyFill="1" applyBorder="1" applyAlignment="1">
      <alignment horizontal="center" vertical="center"/>
    </xf>
    <xf numFmtId="10" fontId="0" fillId="3" borderId="7" xfId="1" applyNumberFormat="1" applyFont="1" applyFill="1" applyBorder="1" applyAlignment="1">
      <alignment horizontal="center" vertical="center"/>
    </xf>
    <xf numFmtId="10" fontId="0" fillId="2" borderId="18" xfId="1" applyNumberFormat="1" applyFont="1" applyFill="1" applyBorder="1" applyAlignment="1">
      <alignment horizontal="center" vertical="center"/>
    </xf>
    <xf numFmtId="10" fontId="0" fillId="2" borderId="8" xfId="1" applyNumberFormat="1" applyFont="1" applyFill="1" applyBorder="1" applyAlignment="1">
      <alignment horizontal="center" vertical="center"/>
    </xf>
    <xf numFmtId="10" fontId="0" fillId="2" borderId="9" xfId="1" applyNumberFormat="1" applyFont="1" applyFill="1" applyBorder="1" applyAlignment="1">
      <alignment horizontal="center" vertical="center"/>
    </xf>
    <xf numFmtId="10" fontId="0" fillId="2" borderId="12" xfId="1" applyNumberFormat="1" applyFont="1" applyFill="1" applyBorder="1" applyAlignment="1">
      <alignment horizontal="center" vertical="center"/>
    </xf>
    <xf numFmtId="10" fontId="0" fillId="3" borderId="12" xfId="1" applyNumberFormat="1" applyFont="1" applyFill="1" applyBorder="1" applyAlignment="1">
      <alignment horizontal="center" vertical="center"/>
    </xf>
    <xf numFmtId="10" fontId="0" fillId="3" borderId="8" xfId="1" applyNumberFormat="1" applyFont="1" applyFill="1" applyBorder="1" applyAlignment="1">
      <alignment horizontal="center" vertical="center"/>
    </xf>
    <xf numFmtId="10" fontId="0" fillId="3" borderId="9" xfId="1" applyNumberFormat="1" applyFont="1" applyFill="1" applyBorder="1" applyAlignment="1">
      <alignment horizontal="center" vertical="center"/>
    </xf>
    <xf numFmtId="165" fontId="2" fillId="9" borderId="26" xfId="4" applyNumberFormat="1" applyBorder="1" applyAlignment="1">
      <alignment horizontal="center" vertical="center" readingOrder="1"/>
    </xf>
    <xf numFmtId="165" fontId="2" fillId="9" borderId="27" xfId="4" applyNumberFormat="1" applyBorder="1" applyAlignment="1">
      <alignment horizontal="center" vertical="center" readingOrder="1"/>
    </xf>
    <xf numFmtId="165" fontId="2" fillId="9" borderId="28" xfId="4" applyNumberFormat="1" applyBorder="1" applyAlignment="1">
      <alignment horizontal="center" vertical="center" readingOrder="1"/>
    </xf>
    <xf numFmtId="0" fontId="11" fillId="8" borderId="13" xfId="3" applyFont="1" applyBorder="1" applyAlignment="1">
      <alignment horizontal="center" vertical="center"/>
    </xf>
    <xf numFmtId="0" fontId="11" fillId="8" borderId="25" xfId="3" applyFont="1" applyBorder="1" applyAlignment="1">
      <alignment horizontal="center" vertical="center"/>
    </xf>
    <xf numFmtId="0" fontId="11" fillId="7" borderId="25" xfId="2" applyFont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</cellXfs>
  <cellStyles count="6">
    <cellStyle name="20% - Accent4" xfId="4" builtinId="42"/>
    <cellStyle name="20% - Accent5" xfId="5" builtinId="46"/>
    <cellStyle name="Accent2" xfId="2" builtinId="33"/>
    <cellStyle name="Accent4" xfId="3" builtinId="4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Dashboard!$E$32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Dashboard!$I$32:$T$32</c:f>
              <c:numCache>
                <c:formatCode>0.00%</c:formatCode>
                <c:ptCount val="12"/>
                <c:pt idx="0">
                  <c:v>0</c:v>
                </c:pt>
                <c:pt idx="1">
                  <c:v>2.9404748072623253E-3</c:v>
                </c:pt>
                <c:pt idx="2">
                  <c:v>2.4547420068536271E-2</c:v>
                </c:pt>
                <c:pt idx="3">
                  <c:v>4.9157374447280563E-2</c:v>
                </c:pt>
                <c:pt idx="4">
                  <c:v>7.1102956123608424E-2</c:v>
                </c:pt>
                <c:pt idx="5">
                  <c:v>7.1868433350977867E-2</c:v>
                </c:pt>
                <c:pt idx="6">
                  <c:v>8.6644555872600351E-2</c:v>
                </c:pt>
                <c:pt idx="7">
                  <c:v>9.1452065041837852E-2</c:v>
                </c:pt>
                <c:pt idx="8">
                  <c:v>9.7669302869667546E-2</c:v>
                </c:pt>
                <c:pt idx="9">
                  <c:v>0.12240567119421075</c:v>
                </c:pt>
                <c:pt idx="10">
                  <c:v>0.12361016078942003</c:v>
                </c:pt>
                <c:pt idx="11">
                  <c:v>0.13507580146463471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D-4CC2-BAB4-2F3A5920C3E4}"/>
            </c:ext>
          </c:extLst>
        </c:ser>
        <c:ser>
          <c:idx val="1"/>
          <c:order val="1"/>
          <c:tx>
            <c:strRef>
              <c:f>Dashboard!$E$33</c:f>
              <c:strCache>
                <c:ptCount val="1"/>
                <c:pt idx="0">
                  <c:v>Planned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</c:numCache>
            </c:numRef>
          </c:cat>
          <c:val>
            <c:numRef>
              <c:f>Dashboard!$I$33:$T$33</c:f>
              <c:numCache>
                <c:formatCode>0.00%</c:formatCode>
                <c:ptCount val="12"/>
                <c:pt idx="0">
                  <c:v>0.2272727272727276</c:v>
                </c:pt>
                <c:pt idx="1">
                  <c:v>0.26893939393939426</c:v>
                </c:pt>
                <c:pt idx="2">
                  <c:v>0.31060606060606094</c:v>
                </c:pt>
                <c:pt idx="3">
                  <c:v>0.35227272727272763</c:v>
                </c:pt>
                <c:pt idx="4">
                  <c:v>0.39393939393939431</c:v>
                </c:pt>
                <c:pt idx="5">
                  <c:v>0.435606060606061</c:v>
                </c:pt>
                <c:pt idx="6">
                  <c:v>0.47727272727272768</c:v>
                </c:pt>
                <c:pt idx="7">
                  <c:v>0.51893939393939437</c:v>
                </c:pt>
                <c:pt idx="8">
                  <c:v>0.560606060606061</c:v>
                </c:pt>
                <c:pt idx="9">
                  <c:v>0.60227272727272763</c:v>
                </c:pt>
                <c:pt idx="10">
                  <c:v>0.64393939393939426</c:v>
                </c:pt>
                <c:pt idx="11">
                  <c:v>0.68560606060606089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D-4CC2-BAB4-2F3A5920C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077504"/>
        <c:axId val="1018074880"/>
      </c:lineChart>
      <c:dateAx>
        <c:axId val="101807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4880"/>
        <c:crosses val="autoZero"/>
        <c:auto val="1"/>
        <c:lblOffset val="100"/>
        <c:baseTimeUnit val="months"/>
      </c:dateAx>
      <c:valAx>
        <c:axId val="10180748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bevel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7504"/>
        <c:crosses val="autoZero"/>
        <c:crossBetween val="between"/>
        <c:majorUnit val="0.2"/>
        <c:min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n w="12700"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489110</xdr:colOff>
      <xdr:row>0</xdr:row>
      <xdr:rowOff>86588</xdr:rowOff>
    </xdr:from>
    <xdr:to>
      <xdr:col>20</xdr:col>
      <xdr:colOff>91811</xdr:colOff>
      <xdr:row>29</xdr:row>
      <xdr:rowOff>134471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F9DB6F-B0A5-4FD4-A7F2-6692A12D9764}"/>
            </a:ext>
          </a:extLst>
        </xdr:cNvPr>
        <xdr:cNvSpPr/>
      </xdr:nvSpPr>
      <xdr:spPr>
        <a:xfrm>
          <a:off x="3660935" y="86588"/>
          <a:ext cx="13318701" cy="5572383"/>
        </a:xfrm>
        <a:prstGeom prst="roundRect">
          <a:avLst>
            <a:gd name="adj" fmla="val 4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23</xdr:col>
      <xdr:colOff>525948</xdr:colOff>
      <xdr:row>38</xdr:row>
      <xdr:rowOff>184168</xdr:rowOff>
    </xdr:from>
    <xdr:to>
      <xdr:col>44</xdr:col>
      <xdr:colOff>371028</xdr:colOff>
      <xdr:row>57</xdr:row>
      <xdr:rowOff>177858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AB3834-B90E-40E5-B7CC-CE6A01A137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7816"/>
        <a:stretch/>
      </xdr:blipFill>
      <xdr:spPr>
        <a:xfrm>
          <a:off x="19242573" y="7756543"/>
          <a:ext cx="12646680" cy="3613190"/>
        </a:xfrm>
        <a:prstGeom prst="rect">
          <a:avLst/>
        </a:prstGeom>
      </xdr:spPr>
    </xdr:pic>
    <xdr:clientData/>
  </xdr:twoCellAnchor>
  <xdr:twoCellAnchor>
    <xdr:from>
      <xdr:col>4</xdr:col>
      <xdr:colOff>25666</xdr:colOff>
      <xdr:row>0</xdr:row>
      <xdr:rowOff>151227</xdr:rowOff>
    </xdr:from>
    <xdr:to>
      <xdr:col>19</xdr:col>
      <xdr:colOff>811024</xdr:colOff>
      <xdr:row>17</xdr:row>
      <xdr:rowOff>153079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7EB144B-C76D-4407-80A3-98F2A0844F30}"/>
            </a:ext>
          </a:extLst>
        </xdr:cNvPr>
        <xdr:cNvSpPr/>
      </xdr:nvSpPr>
      <xdr:spPr>
        <a:xfrm>
          <a:off x="3807091" y="151227"/>
          <a:ext cx="13034508" cy="3240352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99583</xdr:colOff>
      <xdr:row>1</xdr:row>
      <xdr:rowOff>13605</xdr:rowOff>
    </xdr:from>
    <xdr:to>
      <xdr:col>12</xdr:col>
      <xdr:colOff>389752</xdr:colOff>
      <xdr:row>17</xdr:row>
      <xdr:rowOff>61230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7E4BB-FD08-4443-8C11-DC44A1DAC59A}"/>
            </a:ext>
          </a:extLst>
        </xdr:cNvPr>
        <xdr:cNvSpPr>
          <a:spLocks/>
        </xdr:cNvSpPr>
      </xdr:nvSpPr>
      <xdr:spPr>
        <a:xfrm>
          <a:off x="3881008" y="204105"/>
          <a:ext cx="638616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459568</xdr:colOff>
      <xdr:row>1</xdr:row>
      <xdr:rowOff>13605</xdr:rowOff>
    </xdr:from>
    <xdr:to>
      <xdr:col>19</xdr:col>
      <xdr:colOff>749737</xdr:colOff>
      <xdr:row>17</xdr:row>
      <xdr:rowOff>61230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12DCEC1-9468-4F1F-8325-63708D245CC8}"/>
            </a:ext>
          </a:extLst>
        </xdr:cNvPr>
        <xdr:cNvSpPr>
          <a:spLocks/>
        </xdr:cNvSpPr>
      </xdr:nvSpPr>
      <xdr:spPr>
        <a:xfrm>
          <a:off x="10336993" y="204105"/>
          <a:ext cx="644331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749228</xdr:colOff>
      <xdr:row>1</xdr:row>
      <xdr:rowOff>73669</xdr:rowOff>
    </xdr:from>
    <xdr:to>
      <xdr:col>9</xdr:col>
      <xdr:colOff>366900</xdr:colOff>
      <xdr:row>2</xdr:row>
      <xdr:rowOff>103002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0F6829D-FC46-4AB5-9EE5-81438F3AE30A}"/>
            </a:ext>
          </a:extLst>
        </xdr:cNvPr>
        <xdr:cNvSpPr/>
      </xdr:nvSpPr>
      <xdr:spPr>
        <a:xfrm>
          <a:off x="6359453" y="264169"/>
          <a:ext cx="1265497" cy="219833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الأعمال الخارجية</a:t>
          </a:r>
          <a:endParaRPr lang="en-GB" sz="1300" b="1">
            <a:solidFill>
              <a:schemeClr val="accent1">
                <a:lumMod val="50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15</xdr:col>
      <xdr:colOff>500006</xdr:colOff>
      <xdr:row>1</xdr:row>
      <xdr:rowOff>73669</xdr:rowOff>
    </xdr:from>
    <xdr:to>
      <xdr:col>16</xdr:col>
      <xdr:colOff>811097</xdr:colOff>
      <xdr:row>2</xdr:row>
      <xdr:rowOff>102769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A254BCC-2A6C-4D4A-AE08-D6B2E85FDBEE}"/>
            </a:ext>
          </a:extLst>
        </xdr:cNvPr>
        <xdr:cNvSpPr/>
      </xdr:nvSpPr>
      <xdr:spPr>
        <a:xfrm>
          <a:off x="13006331" y="264169"/>
          <a:ext cx="1196916" cy="219600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الأعمال الداخلية</a:t>
          </a:r>
        </a:p>
      </xdr:txBody>
    </xdr:sp>
    <xdr:clientData/>
  </xdr:twoCellAnchor>
  <xdr:twoCellAnchor>
    <xdr:from>
      <xdr:col>11</xdr:col>
      <xdr:colOff>66675</xdr:colOff>
      <xdr:row>18</xdr:row>
      <xdr:rowOff>13473</xdr:rowOff>
    </xdr:from>
    <xdr:to>
      <xdr:col>19</xdr:col>
      <xdr:colOff>811024</xdr:colOff>
      <xdr:row>29</xdr:row>
      <xdr:rowOff>65833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AAEFE0F-121B-4341-8E1B-71F8C8A6C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21337</xdr:colOff>
      <xdr:row>18</xdr:row>
      <xdr:rowOff>10392</xdr:rowOff>
    </xdr:from>
    <xdr:to>
      <xdr:col>11</xdr:col>
      <xdr:colOff>19051</xdr:colOff>
      <xdr:row>29</xdr:row>
      <xdr:rowOff>62467</xdr:rowOff>
    </xdr:to>
    <xdr:sp macro="" textlink="">
      <xdr:nvSpPr>
        <xdr:cNvPr id="11" name="Gages Background">
          <a:extLst>
            <a:ext uri="{FF2B5EF4-FFF2-40B4-BE49-F238E27FC236}">
              <a16:creationId xmlns:a16="http://schemas.microsoft.com/office/drawing/2014/main" id="{711E3252-AFA6-4C2E-B5A9-C2FFEA6DC3F3}"/>
            </a:ext>
          </a:extLst>
        </xdr:cNvPr>
        <xdr:cNvSpPr/>
      </xdr:nvSpPr>
      <xdr:spPr>
        <a:xfrm>
          <a:off x="3802762" y="3439392"/>
          <a:ext cx="5217414" cy="2147575"/>
        </a:xfrm>
        <a:prstGeom prst="roundRect">
          <a:avLst>
            <a:gd name="adj" fmla="val 5213"/>
          </a:avLst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47625</xdr:colOff>
      <xdr:row>18</xdr:row>
      <xdr:rowOff>52386</xdr:rowOff>
    </xdr:from>
    <xdr:to>
      <xdr:col>10</xdr:col>
      <xdr:colOff>819150</xdr:colOff>
      <xdr:row>20</xdr:row>
      <xdr:rowOff>52986</xdr:rowOff>
    </xdr:to>
    <xdr:sp macro="" textlink="">
      <xdr:nvSpPr>
        <xdr:cNvPr id="243" name="Rectangle: Rounded Corners 242">
          <a:extLst>
            <a:ext uri="{FF2B5EF4-FFF2-40B4-BE49-F238E27FC236}">
              <a16:creationId xmlns:a16="http://schemas.microsoft.com/office/drawing/2014/main" id="{F48ECC6E-3CA1-43D5-BBE8-8AF8CBD04FCB}"/>
            </a:ext>
          </a:extLst>
        </xdr:cNvPr>
        <xdr:cNvSpPr/>
      </xdr:nvSpPr>
      <xdr:spPr>
        <a:xfrm>
          <a:off x="6438900" y="3481386"/>
          <a:ext cx="2505075" cy="3816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54239</xdr:colOff>
      <xdr:row>18</xdr:row>
      <xdr:rowOff>52386</xdr:rowOff>
    </xdr:from>
    <xdr:to>
      <xdr:col>8</xdr:col>
      <xdr:colOff>0</xdr:colOff>
      <xdr:row>20</xdr:row>
      <xdr:rowOff>52386</xdr:rowOff>
    </xdr:to>
    <xdr:sp macro="" textlink="">
      <xdr:nvSpPr>
        <xdr:cNvPr id="244" name="Rectangle: Rounded Corners 243">
          <a:extLst>
            <a:ext uri="{FF2B5EF4-FFF2-40B4-BE49-F238E27FC236}">
              <a16:creationId xmlns:a16="http://schemas.microsoft.com/office/drawing/2014/main" id="{1C1BD325-ACAF-4485-9E06-33B091F96531}"/>
            </a:ext>
          </a:extLst>
        </xdr:cNvPr>
        <xdr:cNvSpPr/>
      </xdr:nvSpPr>
      <xdr:spPr>
        <a:xfrm>
          <a:off x="3835664" y="3481386"/>
          <a:ext cx="2555611" cy="3810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95250</xdr:colOff>
      <xdr:row>18</xdr:row>
      <xdr:rowOff>91352</xdr:rowOff>
    </xdr:from>
    <xdr:to>
      <xdr:col>6</xdr:col>
      <xdr:colOff>325531</xdr:colOff>
      <xdr:row>19</xdr:row>
      <xdr:rowOff>190499</xdr:rowOff>
    </xdr:to>
    <xdr:sp macro="" textlink="$J$39">
      <xdr:nvSpPr>
        <xdr:cNvPr id="245" name="Rectangle 244">
          <a:extLst>
            <a:ext uri="{FF2B5EF4-FFF2-40B4-BE49-F238E27FC236}">
              <a16:creationId xmlns:a16="http://schemas.microsoft.com/office/drawing/2014/main" id="{77089E3F-1C97-479C-ADDA-17177E60D957}"/>
            </a:ext>
          </a:extLst>
        </xdr:cNvPr>
        <xdr:cNvSpPr/>
      </xdr:nvSpPr>
      <xdr:spPr>
        <a:xfrm>
          <a:off x="3876675" y="3520352"/>
          <a:ext cx="1449481" cy="289647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7BFD461-FA76-4AC1-8F0C-201741F85B5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Planned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314325</xdr:colOff>
      <xdr:row>18</xdr:row>
      <xdr:rowOff>91353</xdr:rowOff>
    </xdr:from>
    <xdr:to>
      <xdr:col>7</xdr:col>
      <xdr:colOff>746103</xdr:colOff>
      <xdr:row>19</xdr:row>
      <xdr:rowOff>186078</xdr:rowOff>
    </xdr:to>
    <xdr:sp macro="" textlink="J40">
      <xdr:nvSpPr>
        <xdr:cNvPr id="246" name="Rectangle 245">
          <a:extLst>
            <a:ext uri="{FF2B5EF4-FFF2-40B4-BE49-F238E27FC236}">
              <a16:creationId xmlns:a16="http://schemas.microsoft.com/office/drawing/2014/main" id="{70C1CC09-05BC-44C0-B775-D0B32D9A6802}"/>
            </a:ext>
          </a:extLst>
        </xdr:cNvPr>
        <xdr:cNvSpPr/>
      </xdr:nvSpPr>
      <xdr:spPr>
        <a:xfrm>
          <a:off x="5314950" y="3520353"/>
          <a:ext cx="1041378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557E1BF-13FE-4A2E-AA16-5B3EB86588D1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02-Oct-2018</a:t>
          </a:fld>
          <a:endParaRPr lang="en-GB" sz="1100" b="1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90179</xdr:colOff>
      <xdr:row>18</xdr:row>
      <xdr:rowOff>104342</xdr:rowOff>
    </xdr:from>
    <xdr:to>
      <xdr:col>9</xdr:col>
      <xdr:colOff>581026</xdr:colOff>
      <xdr:row>20</xdr:row>
      <xdr:rowOff>8567</xdr:rowOff>
    </xdr:to>
    <xdr:sp macro="" textlink="$K$39">
      <xdr:nvSpPr>
        <xdr:cNvPr id="247" name="Rectangle 246">
          <a:extLst>
            <a:ext uri="{FF2B5EF4-FFF2-40B4-BE49-F238E27FC236}">
              <a16:creationId xmlns:a16="http://schemas.microsoft.com/office/drawing/2014/main" id="{DE4FC506-CA4C-4D7F-9B63-6F280FE23203}"/>
            </a:ext>
          </a:extLst>
        </xdr:cNvPr>
        <xdr:cNvSpPr/>
      </xdr:nvSpPr>
      <xdr:spPr>
        <a:xfrm>
          <a:off x="6481454" y="3533342"/>
          <a:ext cx="1357622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F616C29-77C8-4C72-AFD6-605AC8932F2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Forcasted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581025</xdr:colOff>
      <xdr:row>18</xdr:row>
      <xdr:rowOff>104342</xdr:rowOff>
    </xdr:from>
    <xdr:to>
      <xdr:col>10</xdr:col>
      <xdr:colOff>781052</xdr:colOff>
      <xdr:row>20</xdr:row>
      <xdr:rowOff>8567</xdr:rowOff>
    </xdr:to>
    <xdr:sp macro="" textlink="K40">
      <xdr:nvSpPr>
        <xdr:cNvPr id="248" name="Rectangle 247">
          <a:extLst>
            <a:ext uri="{FF2B5EF4-FFF2-40B4-BE49-F238E27FC236}">
              <a16:creationId xmlns:a16="http://schemas.microsoft.com/office/drawing/2014/main" id="{0ECE2075-822B-4C0E-B438-88A08D5A6EB1}"/>
            </a:ext>
          </a:extLst>
        </xdr:cNvPr>
        <xdr:cNvSpPr/>
      </xdr:nvSpPr>
      <xdr:spPr>
        <a:xfrm>
          <a:off x="7839075" y="3533342"/>
          <a:ext cx="1066802" cy="285225"/>
        </a:xfrm>
        <a:prstGeom prst="rect">
          <a:avLst/>
        </a:prstGeom>
        <a:noFill/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0177003-8D0C-4FFE-9CC4-45C0FF3955C3}" type="TxLink">
            <a:rPr lang="en-US" sz="1100" b="1" i="0" u="none" strike="noStrike">
              <a:solidFill>
                <a:srgbClr val="FF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29-Nov-2020</a:t>
          </a:fld>
          <a:endParaRPr lang="en-GB" sz="1100" b="1" i="0" u="none" strike="noStrike">
            <a:solidFill>
              <a:srgbClr val="FF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562602</xdr:colOff>
      <xdr:row>20</xdr:row>
      <xdr:rowOff>79600</xdr:rowOff>
    </xdr:from>
    <xdr:to>
      <xdr:col>8</xdr:col>
      <xdr:colOff>822758</xdr:colOff>
      <xdr:row>29</xdr:row>
      <xdr:rowOff>44135</xdr:rowOff>
    </xdr:to>
    <xdr:grpSp>
      <xdr:nvGrpSpPr>
        <xdr:cNvPr id="250" name="BlueDial01">
          <a:extLst>
            <a:ext uri="{FF2B5EF4-FFF2-40B4-BE49-F238E27FC236}">
              <a16:creationId xmlns:a16="http://schemas.microsoft.com/office/drawing/2014/main" id="{F5552E67-7727-437B-95D3-7CEA01FADE16}"/>
            </a:ext>
          </a:extLst>
        </xdr:cNvPr>
        <xdr:cNvGrpSpPr/>
      </xdr:nvGrpSpPr>
      <xdr:grpSpPr>
        <a:xfrm>
          <a:off x="5563227" y="3889600"/>
          <a:ext cx="1650806" cy="1679035"/>
          <a:chOff x="6369326" y="1134718"/>
          <a:chExt cx="2152957" cy="2152107"/>
        </a:xfrm>
      </xdr:grpSpPr>
      <xdr:sp macro="" textlink="">
        <xdr:nvSpPr>
          <xdr:cNvPr id="251" name="Rectangle: Rounded Corners 250">
            <a:extLst>
              <a:ext uri="{FF2B5EF4-FFF2-40B4-BE49-F238E27FC236}">
                <a16:creationId xmlns:a16="http://schemas.microsoft.com/office/drawing/2014/main" id="{9801E79C-607F-4D26-9507-27459CE7FB03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252" name="BlueMain Dial">
            <a:extLst>
              <a:ext uri="{FF2B5EF4-FFF2-40B4-BE49-F238E27FC236}">
                <a16:creationId xmlns:a16="http://schemas.microsoft.com/office/drawing/2014/main" id="{6AB7612A-5AD9-44BE-99D7-2797F420FDFE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09" name="Straight Connector 110">
              <a:extLst>
                <a:ext uri="{FF2B5EF4-FFF2-40B4-BE49-F238E27FC236}">
                  <a16:creationId xmlns:a16="http://schemas.microsoft.com/office/drawing/2014/main" id="{9785DCC4-37EB-4205-8808-D4CDB71B571A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100">
              <a:extLst>
                <a:ext uri="{FF2B5EF4-FFF2-40B4-BE49-F238E27FC236}">
                  <a16:creationId xmlns:a16="http://schemas.microsoft.com/office/drawing/2014/main" id="{C0B77F07-3C0B-4C73-A1F7-F6D4187819CA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1" name="Straight Connector 90">
              <a:extLst>
                <a:ext uri="{FF2B5EF4-FFF2-40B4-BE49-F238E27FC236}">
                  <a16:creationId xmlns:a16="http://schemas.microsoft.com/office/drawing/2014/main" id="{D324E9C1-9FC7-4D54-A096-0910137C1000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80">
              <a:extLst>
                <a:ext uri="{FF2B5EF4-FFF2-40B4-BE49-F238E27FC236}">
                  <a16:creationId xmlns:a16="http://schemas.microsoft.com/office/drawing/2014/main" id="{C5739C62-77DD-4BB7-9DA9-908B83DC0D9A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70">
              <a:extLst>
                <a:ext uri="{FF2B5EF4-FFF2-40B4-BE49-F238E27FC236}">
                  <a16:creationId xmlns:a16="http://schemas.microsoft.com/office/drawing/2014/main" id="{B3198640-D0CB-41FB-BEA7-058E8114612C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4" name="Straight Connector 60">
              <a:extLst>
                <a:ext uri="{FF2B5EF4-FFF2-40B4-BE49-F238E27FC236}">
                  <a16:creationId xmlns:a16="http://schemas.microsoft.com/office/drawing/2014/main" id="{F47424EC-4B45-40C8-A681-7B6C5A2D6DFF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5" name="Straight Connector 50">
              <a:extLst>
                <a:ext uri="{FF2B5EF4-FFF2-40B4-BE49-F238E27FC236}">
                  <a16:creationId xmlns:a16="http://schemas.microsoft.com/office/drawing/2014/main" id="{2386397A-F01C-410A-BA3C-7D1D06EED9A0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40">
              <a:extLst>
                <a:ext uri="{FF2B5EF4-FFF2-40B4-BE49-F238E27FC236}">
                  <a16:creationId xmlns:a16="http://schemas.microsoft.com/office/drawing/2014/main" id="{84FD124B-9712-45CC-ABA4-02D5BA61F638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7" name="Straight Connector 30">
              <a:extLst>
                <a:ext uri="{FF2B5EF4-FFF2-40B4-BE49-F238E27FC236}">
                  <a16:creationId xmlns:a16="http://schemas.microsoft.com/office/drawing/2014/main" id="{3473C128-F113-4946-B89E-DD33E23F24C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8" name="Straight Connector 20">
              <a:extLst>
                <a:ext uri="{FF2B5EF4-FFF2-40B4-BE49-F238E27FC236}">
                  <a16:creationId xmlns:a16="http://schemas.microsoft.com/office/drawing/2014/main" id="{482E28CE-EF3A-4894-A343-129D888E42A1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9" name="Straight Connector 10">
              <a:extLst>
                <a:ext uri="{FF2B5EF4-FFF2-40B4-BE49-F238E27FC236}">
                  <a16:creationId xmlns:a16="http://schemas.microsoft.com/office/drawing/2014/main" id="{853D09B6-D62D-468D-882D-C723011EEE65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0" name="Straight Connector 00">
              <a:extLst>
                <a:ext uri="{FF2B5EF4-FFF2-40B4-BE49-F238E27FC236}">
                  <a16:creationId xmlns:a16="http://schemas.microsoft.com/office/drawing/2014/main" id="{DC439282-2B52-4987-ACE5-5A5116A5C79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3" name="BlueSec Dial">
            <a:extLst>
              <a:ext uri="{FF2B5EF4-FFF2-40B4-BE49-F238E27FC236}">
                <a16:creationId xmlns:a16="http://schemas.microsoft.com/office/drawing/2014/main" id="{70E740A4-28E0-40A7-8CEA-08EBA9301294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279" name="Straight Connector 01">
              <a:extLst>
                <a:ext uri="{FF2B5EF4-FFF2-40B4-BE49-F238E27FC236}">
                  <a16:creationId xmlns:a16="http://schemas.microsoft.com/office/drawing/2014/main" id="{CE5EB8F7-EEC1-4637-807E-544709E34E68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02">
              <a:extLst>
                <a:ext uri="{FF2B5EF4-FFF2-40B4-BE49-F238E27FC236}">
                  <a16:creationId xmlns:a16="http://schemas.microsoft.com/office/drawing/2014/main" id="{C101A917-14EA-4FC4-9263-C565DC529843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" name="Straight Connector 03">
              <a:extLst>
                <a:ext uri="{FF2B5EF4-FFF2-40B4-BE49-F238E27FC236}">
                  <a16:creationId xmlns:a16="http://schemas.microsoft.com/office/drawing/2014/main" id="{053FD841-9FD7-40A6-AF2E-16406E371FF8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" name="Straight Connector 04">
              <a:extLst>
                <a:ext uri="{FF2B5EF4-FFF2-40B4-BE49-F238E27FC236}">
                  <a16:creationId xmlns:a16="http://schemas.microsoft.com/office/drawing/2014/main" id="{0712CCC5-CAE6-4696-A3A3-436C05894200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05">
              <a:extLst>
                <a:ext uri="{FF2B5EF4-FFF2-40B4-BE49-F238E27FC236}">
                  <a16:creationId xmlns:a16="http://schemas.microsoft.com/office/drawing/2014/main" id="{AA0C4DE0-7CDB-47F3-9BFA-674F6A1B2C9B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" name="Straight Connector 06">
              <a:extLst>
                <a:ext uri="{FF2B5EF4-FFF2-40B4-BE49-F238E27FC236}">
                  <a16:creationId xmlns:a16="http://schemas.microsoft.com/office/drawing/2014/main" id="{E5C49EDA-5B5D-4CFB-85AD-240F42885C31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5" name="Straight Connector 07">
              <a:extLst>
                <a:ext uri="{FF2B5EF4-FFF2-40B4-BE49-F238E27FC236}">
                  <a16:creationId xmlns:a16="http://schemas.microsoft.com/office/drawing/2014/main" id="{C663D47E-7D19-4D09-ABC3-31758D7C3D15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6" name="Straight Connector 08">
              <a:extLst>
                <a:ext uri="{FF2B5EF4-FFF2-40B4-BE49-F238E27FC236}">
                  <a16:creationId xmlns:a16="http://schemas.microsoft.com/office/drawing/2014/main" id="{DD801510-29B4-4C28-96CA-E0808C1D8C5E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7" name="Straight Connector 09">
              <a:extLst>
                <a:ext uri="{FF2B5EF4-FFF2-40B4-BE49-F238E27FC236}">
                  <a16:creationId xmlns:a16="http://schemas.microsoft.com/office/drawing/2014/main" id="{99D156C4-C061-4917-B67E-BF7F0882BE76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8" name="Straight Connector 10">
              <a:extLst>
                <a:ext uri="{FF2B5EF4-FFF2-40B4-BE49-F238E27FC236}">
                  <a16:creationId xmlns:a16="http://schemas.microsoft.com/office/drawing/2014/main" id="{68ABCFCA-D018-48A1-9236-4C3714036D9C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9" name="Straight Connector 11">
              <a:extLst>
                <a:ext uri="{FF2B5EF4-FFF2-40B4-BE49-F238E27FC236}">
                  <a16:creationId xmlns:a16="http://schemas.microsoft.com/office/drawing/2014/main" id="{8D72BBC7-359A-4F2A-A1FD-7D7D5682D52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0" name="Straight Connector 12">
              <a:extLst>
                <a:ext uri="{FF2B5EF4-FFF2-40B4-BE49-F238E27FC236}">
                  <a16:creationId xmlns:a16="http://schemas.microsoft.com/office/drawing/2014/main" id="{62416683-138F-46DF-B8D4-5204A1DC376E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1" name="Straight Connector 13">
              <a:extLst>
                <a:ext uri="{FF2B5EF4-FFF2-40B4-BE49-F238E27FC236}">
                  <a16:creationId xmlns:a16="http://schemas.microsoft.com/office/drawing/2014/main" id="{EA477E1A-FC11-4CD4-9AB7-E7D1A1FED0BF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14">
              <a:extLst>
                <a:ext uri="{FF2B5EF4-FFF2-40B4-BE49-F238E27FC236}">
                  <a16:creationId xmlns:a16="http://schemas.microsoft.com/office/drawing/2014/main" id="{C2D941EC-14A8-406E-BA86-C014DB2D937F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3" name="Straight Connector 15">
              <a:extLst>
                <a:ext uri="{FF2B5EF4-FFF2-40B4-BE49-F238E27FC236}">
                  <a16:creationId xmlns:a16="http://schemas.microsoft.com/office/drawing/2014/main" id="{2D5E8474-27C4-45DB-84DB-39125AC12273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4" name="Straight Connector 16">
              <a:extLst>
                <a:ext uri="{FF2B5EF4-FFF2-40B4-BE49-F238E27FC236}">
                  <a16:creationId xmlns:a16="http://schemas.microsoft.com/office/drawing/2014/main" id="{CC158E2F-6207-43ED-ABF2-D2ED9297017C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5" name="Straight Connector 17">
              <a:extLst>
                <a:ext uri="{FF2B5EF4-FFF2-40B4-BE49-F238E27FC236}">
                  <a16:creationId xmlns:a16="http://schemas.microsoft.com/office/drawing/2014/main" id="{30C02753-E7BF-49C7-AF79-F52A8E88E4A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18">
              <a:extLst>
                <a:ext uri="{FF2B5EF4-FFF2-40B4-BE49-F238E27FC236}">
                  <a16:creationId xmlns:a16="http://schemas.microsoft.com/office/drawing/2014/main" id="{FA687579-23EB-40A9-8FF7-2825B3193552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19">
              <a:extLst>
                <a:ext uri="{FF2B5EF4-FFF2-40B4-BE49-F238E27FC236}">
                  <a16:creationId xmlns:a16="http://schemas.microsoft.com/office/drawing/2014/main" id="{AB2B00CD-A15D-4FC3-AB8D-2FD55D88A6BC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0">
              <a:extLst>
                <a:ext uri="{FF2B5EF4-FFF2-40B4-BE49-F238E27FC236}">
                  <a16:creationId xmlns:a16="http://schemas.microsoft.com/office/drawing/2014/main" id="{2F4352D8-5B86-4DAE-AB97-88CD053AD8AF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9" name="Straight Connector 21">
              <a:extLst>
                <a:ext uri="{FF2B5EF4-FFF2-40B4-BE49-F238E27FC236}">
                  <a16:creationId xmlns:a16="http://schemas.microsoft.com/office/drawing/2014/main" id="{CC2DE971-9BD3-4F06-BED3-593BB4BFC12D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0" name="Straight Connector 22">
              <a:extLst>
                <a:ext uri="{FF2B5EF4-FFF2-40B4-BE49-F238E27FC236}">
                  <a16:creationId xmlns:a16="http://schemas.microsoft.com/office/drawing/2014/main" id="{9C8B342B-2D85-4874-A8E4-A090E8278330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1" name="Straight Connector 23">
              <a:extLst>
                <a:ext uri="{FF2B5EF4-FFF2-40B4-BE49-F238E27FC236}">
                  <a16:creationId xmlns:a16="http://schemas.microsoft.com/office/drawing/2014/main" id="{3FAB8D0E-4F2D-4584-94B8-1768D0128AEF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2" name="Straight Connector 24">
              <a:extLst>
                <a:ext uri="{FF2B5EF4-FFF2-40B4-BE49-F238E27FC236}">
                  <a16:creationId xmlns:a16="http://schemas.microsoft.com/office/drawing/2014/main" id="{38A4373E-04ED-4EA2-888D-45F02041D7EA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3" name="Straight Connector 25">
              <a:extLst>
                <a:ext uri="{FF2B5EF4-FFF2-40B4-BE49-F238E27FC236}">
                  <a16:creationId xmlns:a16="http://schemas.microsoft.com/office/drawing/2014/main" id="{969340A2-D431-4D4E-865E-82FF3D3C57C9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26">
              <a:extLst>
                <a:ext uri="{FF2B5EF4-FFF2-40B4-BE49-F238E27FC236}">
                  <a16:creationId xmlns:a16="http://schemas.microsoft.com/office/drawing/2014/main" id="{3C384F06-C09E-44B7-A192-547C1B3A07A3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5" name="Straight Connector 27">
              <a:extLst>
                <a:ext uri="{FF2B5EF4-FFF2-40B4-BE49-F238E27FC236}">
                  <a16:creationId xmlns:a16="http://schemas.microsoft.com/office/drawing/2014/main" id="{3238161E-0A88-4F01-BF0F-DCB6EE66475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6" name="Straight Connector 28">
              <a:extLst>
                <a:ext uri="{FF2B5EF4-FFF2-40B4-BE49-F238E27FC236}">
                  <a16:creationId xmlns:a16="http://schemas.microsoft.com/office/drawing/2014/main" id="{4F96AFB6-5164-460B-B593-FA28A783145A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7" name="Straight Connector 29">
              <a:extLst>
                <a:ext uri="{FF2B5EF4-FFF2-40B4-BE49-F238E27FC236}">
                  <a16:creationId xmlns:a16="http://schemas.microsoft.com/office/drawing/2014/main" id="{4B5E1505-7FB0-4C70-8CB7-FA662F5D428E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8" name="Straight Connector 30">
              <a:extLst>
                <a:ext uri="{FF2B5EF4-FFF2-40B4-BE49-F238E27FC236}">
                  <a16:creationId xmlns:a16="http://schemas.microsoft.com/office/drawing/2014/main" id="{9732055E-C41D-4DE2-8487-9FBEC7803EAE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90CEE25D-9CD0-431B-803C-37F55EEC70C3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256" name="Blue Oval 2">
              <a:extLst>
                <a:ext uri="{FF2B5EF4-FFF2-40B4-BE49-F238E27FC236}">
                  <a16:creationId xmlns:a16="http://schemas.microsoft.com/office/drawing/2014/main" id="{DF1C01D2-EC0B-4409-B00E-29624CC68298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257" name="Group 256">
              <a:extLst>
                <a:ext uri="{FF2B5EF4-FFF2-40B4-BE49-F238E27FC236}">
                  <a16:creationId xmlns:a16="http://schemas.microsoft.com/office/drawing/2014/main" id="{6C5422E3-E194-41AC-9ED5-2E1A68D9878C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258" name="Group 257">
                <a:extLst>
                  <a:ext uri="{FF2B5EF4-FFF2-40B4-BE49-F238E27FC236}">
                    <a16:creationId xmlns:a16="http://schemas.microsoft.com/office/drawing/2014/main" id="{9276E9A7-4E92-4F52-8F00-3C8A61761EC5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275" name="Straight Connector 274">
                  <a:extLst>
                    <a:ext uri="{FF2B5EF4-FFF2-40B4-BE49-F238E27FC236}">
                      <a16:creationId xmlns:a16="http://schemas.microsoft.com/office/drawing/2014/main" id="{9C813D2C-64D0-451E-83AA-993AA2A3A82C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6" name="Straight Connector 275">
                  <a:extLst>
                    <a:ext uri="{FF2B5EF4-FFF2-40B4-BE49-F238E27FC236}">
                      <a16:creationId xmlns:a16="http://schemas.microsoft.com/office/drawing/2014/main" id="{8E2F8E60-C712-4C55-9F66-7AB3AB66290C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7" name="Straight Connector 276">
                  <a:extLst>
                    <a:ext uri="{FF2B5EF4-FFF2-40B4-BE49-F238E27FC236}">
                      <a16:creationId xmlns:a16="http://schemas.microsoft.com/office/drawing/2014/main" id="{F8578544-7718-45FC-A4C6-FA8CC56248D3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8" name="Straight Connector 277">
                  <a:extLst>
                    <a:ext uri="{FF2B5EF4-FFF2-40B4-BE49-F238E27FC236}">
                      <a16:creationId xmlns:a16="http://schemas.microsoft.com/office/drawing/2014/main" id="{9C6B1CF6-3196-4152-9750-F3537B8895F4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59" name="Group 258">
                <a:extLst>
                  <a:ext uri="{FF2B5EF4-FFF2-40B4-BE49-F238E27FC236}">
                    <a16:creationId xmlns:a16="http://schemas.microsoft.com/office/drawing/2014/main" id="{EFB05C01-C30C-4C6E-BCD4-E2E90F37411D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260" name="Group 259">
                  <a:extLst>
                    <a:ext uri="{FF2B5EF4-FFF2-40B4-BE49-F238E27FC236}">
                      <a16:creationId xmlns:a16="http://schemas.microsoft.com/office/drawing/2014/main" id="{75D948A4-8CA5-4809-8005-5AF37B8DE041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271" name="Straight Connector 270">
                    <a:extLst>
                      <a:ext uri="{FF2B5EF4-FFF2-40B4-BE49-F238E27FC236}">
                        <a16:creationId xmlns:a16="http://schemas.microsoft.com/office/drawing/2014/main" id="{348F8C1A-78BF-44DD-BADD-6FE1FA14FE3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Straight Connector 271">
                    <a:extLst>
                      <a:ext uri="{FF2B5EF4-FFF2-40B4-BE49-F238E27FC236}">
                        <a16:creationId xmlns:a16="http://schemas.microsoft.com/office/drawing/2014/main" id="{334779CC-33FB-4026-A781-0923E45932FE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3" name="Straight Connector 272">
                    <a:extLst>
                      <a:ext uri="{FF2B5EF4-FFF2-40B4-BE49-F238E27FC236}">
                        <a16:creationId xmlns:a16="http://schemas.microsoft.com/office/drawing/2014/main" id="{DBA3CF9A-302B-467B-AC1A-C344F06C863C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4" name="Straight Connector 273">
                    <a:extLst>
                      <a:ext uri="{FF2B5EF4-FFF2-40B4-BE49-F238E27FC236}">
                        <a16:creationId xmlns:a16="http://schemas.microsoft.com/office/drawing/2014/main" id="{82979BD9-338E-4F28-A35E-D44ABE057D31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1" name="Group 260">
                  <a:extLst>
                    <a:ext uri="{FF2B5EF4-FFF2-40B4-BE49-F238E27FC236}">
                      <a16:creationId xmlns:a16="http://schemas.microsoft.com/office/drawing/2014/main" id="{4453AD54-60A8-4B2A-80F4-469129B26F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7" name="Straight Connector 266">
                    <a:extLst>
                      <a:ext uri="{FF2B5EF4-FFF2-40B4-BE49-F238E27FC236}">
                        <a16:creationId xmlns:a16="http://schemas.microsoft.com/office/drawing/2014/main" id="{3524E10C-E8C0-4EEA-B654-18546D3D964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Straight Connector 267">
                    <a:extLst>
                      <a:ext uri="{FF2B5EF4-FFF2-40B4-BE49-F238E27FC236}">
                        <a16:creationId xmlns:a16="http://schemas.microsoft.com/office/drawing/2014/main" id="{522A6F0E-4E3B-420C-8E16-4543AF1DDF98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Straight Connector 268">
                    <a:extLst>
                      <a:ext uri="{FF2B5EF4-FFF2-40B4-BE49-F238E27FC236}">
                        <a16:creationId xmlns:a16="http://schemas.microsoft.com/office/drawing/2014/main" id="{566FE069-06BF-4C9D-9E00-24FEC5731E3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Straight Connector 269">
                    <a:extLst>
                      <a:ext uri="{FF2B5EF4-FFF2-40B4-BE49-F238E27FC236}">
                        <a16:creationId xmlns:a16="http://schemas.microsoft.com/office/drawing/2014/main" id="{64430C61-D982-41F7-88E3-8EF5AC9EEA96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2" name="Group 261">
                  <a:extLst>
                    <a:ext uri="{FF2B5EF4-FFF2-40B4-BE49-F238E27FC236}">
                      <a16:creationId xmlns:a16="http://schemas.microsoft.com/office/drawing/2014/main" id="{2FBECD77-A63E-479F-8435-E654613BA779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3" name="Straight Connector 262">
                    <a:extLst>
                      <a:ext uri="{FF2B5EF4-FFF2-40B4-BE49-F238E27FC236}">
                        <a16:creationId xmlns:a16="http://schemas.microsoft.com/office/drawing/2014/main" id="{E1B84FE0-6E13-4ED4-AAF3-BC6C2769C37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Straight Connector 263">
                    <a:extLst>
                      <a:ext uri="{FF2B5EF4-FFF2-40B4-BE49-F238E27FC236}">
                        <a16:creationId xmlns:a16="http://schemas.microsoft.com/office/drawing/2014/main" id="{C1CE3C50-8076-4A49-BB11-E85E6D8086F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Straight Connector 264">
                    <a:extLst>
                      <a:ext uri="{FF2B5EF4-FFF2-40B4-BE49-F238E27FC236}">
                        <a16:creationId xmlns:a16="http://schemas.microsoft.com/office/drawing/2014/main" id="{7CB12739-FEED-41AB-8675-F6E7565B070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Straight Connector 265">
                    <a:extLst>
                      <a:ext uri="{FF2B5EF4-FFF2-40B4-BE49-F238E27FC236}">
                        <a16:creationId xmlns:a16="http://schemas.microsoft.com/office/drawing/2014/main" id="{FA202C3B-A7E3-4E40-AE30-B169C83337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255" name="Rectangle: Rounded Corners 254">
            <a:extLst>
              <a:ext uri="{FF2B5EF4-FFF2-40B4-BE49-F238E27FC236}">
                <a16:creationId xmlns:a16="http://schemas.microsoft.com/office/drawing/2014/main" id="{BE181F90-453B-4B06-AB3B-10001B71095E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0CA712A1-BC7A-4E51-A2AA-F325E1D858F6}" type="TxLink">
              <a:rPr lang="en-US" sz="1400" b="1" i="0" u="none" strike="noStrike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Actual</a:t>
            </a:fld>
            <a:endParaRPr lang="en-GB" sz="14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437281</xdr:colOff>
      <xdr:row>21</xdr:row>
      <xdr:rowOff>179207</xdr:rowOff>
    </xdr:from>
    <xdr:to>
      <xdr:col>8</xdr:col>
      <xdr:colOff>338480</xdr:colOff>
      <xdr:row>26</xdr:row>
      <xdr:rowOff>103358</xdr:rowOff>
    </xdr:to>
    <xdr:grpSp>
      <xdr:nvGrpSpPr>
        <xdr:cNvPr id="321" name="BlueGroup 50">
          <a:extLst>
            <a:ext uri="{FF2B5EF4-FFF2-40B4-BE49-F238E27FC236}">
              <a16:creationId xmlns:a16="http://schemas.microsoft.com/office/drawing/2014/main" id="{914B66D5-275C-4554-8943-6ADF07E6A203}"/>
            </a:ext>
          </a:extLst>
        </xdr:cNvPr>
        <xdr:cNvGrpSpPr/>
      </xdr:nvGrpSpPr>
      <xdr:grpSpPr>
        <a:xfrm rot="2188228">
          <a:off x="6047506" y="4179707"/>
          <a:ext cx="682249" cy="876651"/>
          <a:chOff x="2304508" y="1097724"/>
          <a:chExt cx="1172913" cy="828440"/>
        </a:xfrm>
      </xdr:grpSpPr>
      <xdr:sp macro="" textlink="">
        <xdr:nvSpPr>
          <xdr:cNvPr id="322" name="PointerTip">
            <a:extLst>
              <a:ext uri="{FF2B5EF4-FFF2-40B4-BE49-F238E27FC236}">
                <a16:creationId xmlns:a16="http://schemas.microsoft.com/office/drawing/2014/main" id="{FE0450E6-EA34-4716-A2B0-926A9A992B64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323" name="PointerInvisible">
            <a:extLst>
              <a:ext uri="{FF2B5EF4-FFF2-40B4-BE49-F238E27FC236}">
                <a16:creationId xmlns:a16="http://schemas.microsoft.com/office/drawing/2014/main" id="{4E701D9C-AB5B-454C-96B7-9E38A006A8A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7</xdr:col>
      <xdr:colOff>365614</xdr:colOff>
      <xdr:row>22</xdr:row>
      <xdr:rowOff>113499</xdr:rowOff>
    </xdr:from>
    <xdr:to>
      <xdr:col>8</xdr:col>
      <xdr:colOff>431755</xdr:colOff>
      <xdr:row>25</xdr:row>
      <xdr:rowOff>135999</xdr:rowOff>
    </xdr:to>
    <xdr:grpSp>
      <xdr:nvGrpSpPr>
        <xdr:cNvPr id="324" name="BlueDial02">
          <a:extLst>
            <a:ext uri="{FF2B5EF4-FFF2-40B4-BE49-F238E27FC236}">
              <a16:creationId xmlns:a16="http://schemas.microsoft.com/office/drawing/2014/main" id="{2B47DD91-24AD-4086-957B-5362A734D264}"/>
            </a:ext>
          </a:extLst>
        </xdr:cNvPr>
        <xdr:cNvGrpSpPr/>
      </xdr:nvGrpSpPr>
      <xdr:grpSpPr>
        <a:xfrm>
          <a:off x="5975839" y="4304499"/>
          <a:ext cx="847191" cy="594000"/>
          <a:chOff x="6820967" y="1598543"/>
          <a:chExt cx="1248457" cy="917170"/>
        </a:xfrm>
        <a:effectLst>
          <a:outerShdw blurRad="50800" dist="38100" dir="5400000" algn="t" rotWithShape="0">
            <a:prstClr val="black"/>
          </a:outerShdw>
        </a:effectLst>
        <a:scene3d>
          <a:camera prst="orthographicFront">
            <a:rot lat="0" lon="0" rev="0"/>
          </a:camera>
          <a:lightRig rig="soft" dir="t">
            <a:rot lat="0" lon="0" rev="600000"/>
          </a:lightRig>
        </a:scene3d>
      </xdr:grpSpPr>
      <xdr:sp macro="" textlink="$C$2">
        <xdr:nvSpPr>
          <xdr:cNvPr id="325" name="Oval 324">
            <a:extLst>
              <a:ext uri="{FF2B5EF4-FFF2-40B4-BE49-F238E27FC236}">
                <a16:creationId xmlns:a16="http://schemas.microsoft.com/office/drawing/2014/main" id="{B45A04FE-934A-482F-8D27-DCF7BDDB8BF3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L$40">
        <xdr:nvSpPr>
          <xdr:cNvPr id="326" name="TextBox 325">
            <a:extLst>
              <a:ext uri="{FF2B5EF4-FFF2-40B4-BE49-F238E27FC236}">
                <a16:creationId xmlns:a16="http://schemas.microsoft.com/office/drawing/2014/main" id="{70E091D2-CF03-473B-8755-A05683EC00BE}"/>
              </a:ext>
            </a:extLst>
          </xdr:cNvPr>
          <xdr:cNvSpPr txBox="1"/>
        </xdr:nvSpPr>
        <xdr:spPr>
          <a:xfrm>
            <a:off x="6820967" y="1780442"/>
            <a:ext cx="1248457" cy="54232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2257B85-6619-45B1-935E-756340F1E8C0}" type="TxLink">
              <a:rPr lang="en-US" sz="1500" b="0" i="0" u="none" strike="noStrike">
                <a:ln w="6350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t>13.51%</a:t>
            </a:fld>
            <a:endParaRPr lang="en-GB" sz="1500" b="0">
              <a:ln w="6350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4</xdr:col>
      <xdr:colOff>90486</xdr:colOff>
      <xdr:row>20</xdr:row>
      <xdr:rowOff>79600</xdr:rowOff>
    </xdr:from>
    <xdr:to>
      <xdr:col>6</xdr:col>
      <xdr:colOff>530922</xdr:colOff>
      <xdr:row>29</xdr:row>
      <xdr:rowOff>42406</xdr:rowOff>
    </xdr:to>
    <xdr:grpSp>
      <xdr:nvGrpSpPr>
        <xdr:cNvPr id="327" name="GreenDial01">
          <a:extLst>
            <a:ext uri="{FF2B5EF4-FFF2-40B4-BE49-F238E27FC236}">
              <a16:creationId xmlns:a16="http://schemas.microsoft.com/office/drawing/2014/main" id="{938CC794-2BF3-4E57-BA70-2B7E5012AAA5}"/>
            </a:ext>
          </a:extLst>
        </xdr:cNvPr>
        <xdr:cNvGrpSpPr/>
      </xdr:nvGrpSpPr>
      <xdr:grpSpPr>
        <a:xfrm>
          <a:off x="3871911" y="3889600"/>
          <a:ext cx="1659636" cy="1677306"/>
          <a:chOff x="6369326" y="1134718"/>
          <a:chExt cx="2152957" cy="2152107"/>
        </a:xfrm>
      </xdr:grpSpPr>
      <xdr:sp macro="" textlink="">
        <xdr:nvSpPr>
          <xdr:cNvPr id="328" name="Rectangle: Rounded Corners 327">
            <a:extLst>
              <a:ext uri="{FF2B5EF4-FFF2-40B4-BE49-F238E27FC236}">
                <a16:creationId xmlns:a16="http://schemas.microsoft.com/office/drawing/2014/main" id="{21DECF1B-FFE3-4960-BF85-872AAAA86D28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329" name="BlueMain Dial">
            <a:extLst>
              <a:ext uri="{FF2B5EF4-FFF2-40B4-BE49-F238E27FC236}">
                <a16:creationId xmlns:a16="http://schemas.microsoft.com/office/drawing/2014/main" id="{53527822-4790-4AE1-AAB6-5E6FB8B03EC2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86" name="Straight Connector 110">
              <a:extLst>
                <a:ext uri="{FF2B5EF4-FFF2-40B4-BE49-F238E27FC236}">
                  <a16:creationId xmlns:a16="http://schemas.microsoft.com/office/drawing/2014/main" id="{8E944D1E-E7B3-41A8-8ED0-6C862DAACCDF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7" name="Straight Connector 100">
              <a:extLst>
                <a:ext uri="{FF2B5EF4-FFF2-40B4-BE49-F238E27FC236}">
                  <a16:creationId xmlns:a16="http://schemas.microsoft.com/office/drawing/2014/main" id="{E3F1A7D6-10B5-425A-B063-F4B51A4ADC50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8" name="Straight Connector 90">
              <a:extLst>
                <a:ext uri="{FF2B5EF4-FFF2-40B4-BE49-F238E27FC236}">
                  <a16:creationId xmlns:a16="http://schemas.microsoft.com/office/drawing/2014/main" id="{8D0EE1BC-1398-4637-B209-CA4C5FFA1035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9" name="Straight Connector 80">
              <a:extLst>
                <a:ext uri="{FF2B5EF4-FFF2-40B4-BE49-F238E27FC236}">
                  <a16:creationId xmlns:a16="http://schemas.microsoft.com/office/drawing/2014/main" id="{64F97505-A91A-49A3-B253-75ED37579C27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0" name="Straight Connector 70">
              <a:extLst>
                <a:ext uri="{FF2B5EF4-FFF2-40B4-BE49-F238E27FC236}">
                  <a16:creationId xmlns:a16="http://schemas.microsoft.com/office/drawing/2014/main" id="{1801B63C-C10C-4512-96DF-70084D1EE5CB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1" name="Straight Connector 60">
              <a:extLst>
                <a:ext uri="{FF2B5EF4-FFF2-40B4-BE49-F238E27FC236}">
                  <a16:creationId xmlns:a16="http://schemas.microsoft.com/office/drawing/2014/main" id="{BB337687-B6E7-467C-9E15-DF60683864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2" name="Straight Connector 50">
              <a:extLst>
                <a:ext uri="{FF2B5EF4-FFF2-40B4-BE49-F238E27FC236}">
                  <a16:creationId xmlns:a16="http://schemas.microsoft.com/office/drawing/2014/main" id="{A7C7BD01-E23C-444C-90E5-3879454368AD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3" name="Straight Connector 40">
              <a:extLst>
                <a:ext uri="{FF2B5EF4-FFF2-40B4-BE49-F238E27FC236}">
                  <a16:creationId xmlns:a16="http://schemas.microsoft.com/office/drawing/2014/main" id="{8AE5A1A8-21E7-4A7D-B405-7AAE17C3D772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4" name="Straight Connector 30">
              <a:extLst>
                <a:ext uri="{FF2B5EF4-FFF2-40B4-BE49-F238E27FC236}">
                  <a16:creationId xmlns:a16="http://schemas.microsoft.com/office/drawing/2014/main" id="{A32A0FDF-E835-4026-9509-8B4A22C9A30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5" name="Straight Connector 20">
              <a:extLst>
                <a:ext uri="{FF2B5EF4-FFF2-40B4-BE49-F238E27FC236}">
                  <a16:creationId xmlns:a16="http://schemas.microsoft.com/office/drawing/2014/main" id="{77D82437-5E5A-41CE-B772-F91C7D5079E7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6" name="Straight Connector 10">
              <a:extLst>
                <a:ext uri="{FF2B5EF4-FFF2-40B4-BE49-F238E27FC236}">
                  <a16:creationId xmlns:a16="http://schemas.microsoft.com/office/drawing/2014/main" id="{7A084370-9085-4BCF-A116-61ECE4A85D1C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7" name="Straight Connector 00">
              <a:extLst>
                <a:ext uri="{FF2B5EF4-FFF2-40B4-BE49-F238E27FC236}">
                  <a16:creationId xmlns:a16="http://schemas.microsoft.com/office/drawing/2014/main" id="{99661184-8379-43B9-B70C-9AF16B7C039C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0" name="BlueSec Dial">
            <a:extLst>
              <a:ext uri="{FF2B5EF4-FFF2-40B4-BE49-F238E27FC236}">
                <a16:creationId xmlns:a16="http://schemas.microsoft.com/office/drawing/2014/main" id="{86CBC25D-6362-485F-B124-F47478270F58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356" name="Straight Connector 01">
              <a:extLst>
                <a:ext uri="{FF2B5EF4-FFF2-40B4-BE49-F238E27FC236}">
                  <a16:creationId xmlns:a16="http://schemas.microsoft.com/office/drawing/2014/main" id="{B2D7FB32-DBAE-456C-8254-A649EE752B70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7" name="Straight Connector 02">
              <a:extLst>
                <a:ext uri="{FF2B5EF4-FFF2-40B4-BE49-F238E27FC236}">
                  <a16:creationId xmlns:a16="http://schemas.microsoft.com/office/drawing/2014/main" id="{70BB64C6-6E96-4293-98F9-7DF1628A50BF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03">
              <a:extLst>
                <a:ext uri="{FF2B5EF4-FFF2-40B4-BE49-F238E27FC236}">
                  <a16:creationId xmlns:a16="http://schemas.microsoft.com/office/drawing/2014/main" id="{7A72E14E-1F50-47EB-BFE8-916CF06BE342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9" name="Straight Connector 04">
              <a:extLst>
                <a:ext uri="{FF2B5EF4-FFF2-40B4-BE49-F238E27FC236}">
                  <a16:creationId xmlns:a16="http://schemas.microsoft.com/office/drawing/2014/main" id="{0C49FCA7-5415-4FF4-B257-AC6659D4ED26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0" name="Straight Connector 05">
              <a:extLst>
                <a:ext uri="{FF2B5EF4-FFF2-40B4-BE49-F238E27FC236}">
                  <a16:creationId xmlns:a16="http://schemas.microsoft.com/office/drawing/2014/main" id="{1E0BDD0A-CE0E-401C-82B2-B97EF1536E7A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1" name="Straight Connector 06">
              <a:extLst>
                <a:ext uri="{FF2B5EF4-FFF2-40B4-BE49-F238E27FC236}">
                  <a16:creationId xmlns:a16="http://schemas.microsoft.com/office/drawing/2014/main" id="{CB510B4D-430B-4CB9-B14A-CB58CD43B0CE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2" name="Straight Connector 07">
              <a:extLst>
                <a:ext uri="{FF2B5EF4-FFF2-40B4-BE49-F238E27FC236}">
                  <a16:creationId xmlns:a16="http://schemas.microsoft.com/office/drawing/2014/main" id="{D3898040-01F6-400B-8F2E-707EAF555D41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3" name="Straight Connector 08">
              <a:extLst>
                <a:ext uri="{FF2B5EF4-FFF2-40B4-BE49-F238E27FC236}">
                  <a16:creationId xmlns:a16="http://schemas.microsoft.com/office/drawing/2014/main" id="{6623C639-8291-4158-B063-02CC2E01F664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09">
              <a:extLst>
                <a:ext uri="{FF2B5EF4-FFF2-40B4-BE49-F238E27FC236}">
                  <a16:creationId xmlns:a16="http://schemas.microsoft.com/office/drawing/2014/main" id="{1D92C842-EF0D-4CE7-A090-951B4705AA8A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5" name="Straight Connector 10">
              <a:extLst>
                <a:ext uri="{FF2B5EF4-FFF2-40B4-BE49-F238E27FC236}">
                  <a16:creationId xmlns:a16="http://schemas.microsoft.com/office/drawing/2014/main" id="{62BA3809-726C-43F8-9F39-23C93D8BA81E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6" name="Straight Connector 11">
              <a:extLst>
                <a:ext uri="{FF2B5EF4-FFF2-40B4-BE49-F238E27FC236}">
                  <a16:creationId xmlns:a16="http://schemas.microsoft.com/office/drawing/2014/main" id="{47D922AA-9B04-466F-8965-2AC6DBEE146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7" name="Straight Connector 12">
              <a:extLst>
                <a:ext uri="{FF2B5EF4-FFF2-40B4-BE49-F238E27FC236}">
                  <a16:creationId xmlns:a16="http://schemas.microsoft.com/office/drawing/2014/main" id="{72AD5EB9-CB54-4DB1-A543-911E568EC72F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8" name="Straight Connector 13">
              <a:extLst>
                <a:ext uri="{FF2B5EF4-FFF2-40B4-BE49-F238E27FC236}">
                  <a16:creationId xmlns:a16="http://schemas.microsoft.com/office/drawing/2014/main" id="{A579FA80-27F9-4574-9CA8-76DD04E0BAB5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9" name="Straight Connector 14">
              <a:extLst>
                <a:ext uri="{FF2B5EF4-FFF2-40B4-BE49-F238E27FC236}">
                  <a16:creationId xmlns:a16="http://schemas.microsoft.com/office/drawing/2014/main" id="{EDDB0793-D1D5-45A1-9DC4-285911292430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15">
              <a:extLst>
                <a:ext uri="{FF2B5EF4-FFF2-40B4-BE49-F238E27FC236}">
                  <a16:creationId xmlns:a16="http://schemas.microsoft.com/office/drawing/2014/main" id="{1F363A51-6A2A-4D7F-9D42-C652479E029E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1" name="Straight Connector 16">
              <a:extLst>
                <a:ext uri="{FF2B5EF4-FFF2-40B4-BE49-F238E27FC236}">
                  <a16:creationId xmlns:a16="http://schemas.microsoft.com/office/drawing/2014/main" id="{C09B062B-7F61-4E05-90E1-8609E6D241A5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2" name="Straight Connector 17">
              <a:extLst>
                <a:ext uri="{FF2B5EF4-FFF2-40B4-BE49-F238E27FC236}">
                  <a16:creationId xmlns:a16="http://schemas.microsoft.com/office/drawing/2014/main" id="{2C1A4D9E-516E-4204-82A1-94102F03F4E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3" name="Straight Connector 18">
              <a:extLst>
                <a:ext uri="{FF2B5EF4-FFF2-40B4-BE49-F238E27FC236}">
                  <a16:creationId xmlns:a16="http://schemas.microsoft.com/office/drawing/2014/main" id="{77661223-2ADF-402D-8690-69FE54A437A6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4" name="Straight Connector 19">
              <a:extLst>
                <a:ext uri="{FF2B5EF4-FFF2-40B4-BE49-F238E27FC236}">
                  <a16:creationId xmlns:a16="http://schemas.microsoft.com/office/drawing/2014/main" id="{7F33A009-96E2-42AD-8A00-A2969CAAB4C6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5" name="Straight Connector 20">
              <a:extLst>
                <a:ext uri="{FF2B5EF4-FFF2-40B4-BE49-F238E27FC236}">
                  <a16:creationId xmlns:a16="http://schemas.microsoft.com/office/drawing/2014/main" id="{5044E517-1DBA-426A-A51A-081B1CD1BFE6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21">
              <a:extLst>
                <a:ext uri="{FF2B5EF4-FFF2-40B4-BE49-F238E27FC236}">
                  <a16:creationId xmlns:a16="http://schemas.microsoft.com/office/drawing/2014/main" id="{9BCD50FE-3EBE-4F05-B9C6-5A273DF873F1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7" name="Straight Connector 22">
              <a:extLst>
                <a:ext uri="{FF2B5EF4-FFF2-40B4-BE49-F238E27FC236}">
                  <a16:creationId xmlns:a16="http://schemas.microsoft.com/office/drawing/2014/main" id="{06F733B4-F6B5-4456-ACE7-0718C20A6746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8" name="Straight Connector 23">
              <a:extLst>
                <a:ext uri="{FF2B5EF4-FFF2-40B4-BE49-F238E27FC236}">
                  <a16:creationId xmlns:a16="http://schemas.microsoft.com/office/drawing/2014/main" id="{545CEEAF-ECF1-409D-AE62-FF7551A32908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9" name="Straight Connector 24">
              <a:extLst>
                <a:ext uri="{FF2B5EF4-FFF2-40B4-BE49-F238E27FC236}">
                  <a16:creationId xmlns:a16="http://schemas.microsoft.com/office/drawing/2014/main" id="{986C6A19-FE78-4EFF-8182-EFE9D05110CB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0" name="Straight Connector 25">
              <a:extLst>
                <a:ext uri="{FF2B5EF4-FFF2-40B4-BE49-F238E27FC236}">
                  <a16:creationId xmlns:a16="http://schemas.microsoft.com/office/drawing/2014/main" id="{672DD3DE-6511-4D39-9E5A-CF24231E6C7A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1" name="Straight Connector 26">
              <a:extLst>
                <a:ext uri="{FF2B5EF4-FFF2-40B4-BE49-F238E27FC236}">
                  <a16:creationId xmlns:a16="http://schemas.microsoft.com/office/drawing/2014/main" id="{99C49586-54C7-4C23-B60D-5898D3317EF6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2" name="Straight Connector 27">
              <a:extLst>
                <a:ext uri="{FF2B5EF4-FFF2-40B4-BE49-F238E27FC236}">
                  <a16:creationId xmlns:a16="http://schemas.microsoft.com/office/drawing/2014/main" id="{2B3EA77F-44D3-4977-99B4-B9F97AE6BB6E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3" name="Straight Connector 28">
              <a:extLst>
                <a:ext uri="{FF2B5EF4-FFF2-40B4-BE49-F238E27FC236}">
                  <a16:creationId xmlns:a16="http://schemas.microsoft.com/office/drawing/2014/main" id="{3C8F82C8-08F0-4E25-AA75-E78956F72C14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4" name="Straight Connector 29">
              <a:extLst>
                <a:ext uri="{FF2B5EF4-FFF2-40B4-BE49-F238E27FC236}">
                  <a16:creationId xmlns:a16="http://schemas.microsoft.com/office/drawing/2014/main" id="{188C0FC3-82D1-466F-91E6-6CD0568FD88C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" name="Straight Connector 30">
              <a:extLst>
                <a:ext uri="{FF2B5EF4-FFF2-40B4-BE49-F238E27FC236}">
                  <a16:creationId xmlns:a16="http://schemas.microsoft.com/office/drawing/2014/main" id="{5150D51C-77A6-4292-BC9B-481FD7B580C8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5C5D53EE-7F78-4AF7-976C-7A5FB205D56D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333" name="Blue Oval 2">
              <a:extLst>
                <a:ext uri="{FF2B5EF4-FFF2-40B4-BE49-F238E27FC236}">
                  <a16:creationId xmlns:a16="http://schemas.microsoft.com/office/drawing/2014/main" id="{828BF8A1-BBCE-4178-B70A-4541C9B67326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334" name="Group 333">
              <a:extLst>
                <a:ext uri="{FF2B5EF4-FFF2-40B4-BE49-F238E27FC236}">
                  <a16:creationId xmlns:a16="http://schemas.microsoft.com/office/drawing/2014/main" id="{6B69FE28-CEAC-433C-8607-60B5EECE95E7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335" name="Group 334">
                <a:extLst>
                  <a:ext uri="{FF2B5EF4-FFF2-40B4-BE49-F238E27FC236}">
                    <a16:creationId xmlns:a16="http://schemas.microsoft.com/office/drawing/2014/main" id="{05A0EE67-3D2B-4C50-A0B6-BB16F4CCB341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352" name="Straight Connector 351">
                  <a:extLst>
                    <a:ext uri="{FF2B5EF4-FFF2-40B4-BE49-F238E27FC236}">
                      <a16:creationId xmlns:a16="http://schemas.microsoft.com/office/drawing/2014/main" id="{6A4A56F5-0D30-4FF7-9AF6-21EAFAC27100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3" name="Straight Connector 352">
                  <a:extLst>
                    <a:ext uri="{FF2B5EF4-FFF2-40B4-BE49-F238E27FC236}">
                      <a16:creationId xmlns:a16="http://schemas.microsoft.com/office/drawing/2014/main" id="{B76F55B1-E13B-4158-9A5D-D79FFAE016CD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4" name="Straight Connector 353">
                  <a:extLst>
                    <a:ext uri="{FF2B5EF4-FFF2-40B4-BE49-F238E27FC236}">
                      <a16:creationId xmlns:a16="http://schemas.microsoft.com/office/drawing/2014/main" id="{3C96B2D6-6BD6-4A4A-91A9-8D94AEC03181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5" name="Straight Connector 354">
                  <a:extLst>
                    <a:ext uri="{FF2B5EF4-FFF2-40B4-BE49-F238E27FC236}">
                      <a16:creationId xmlns:a16="http://schemas.microsoft.com/office/drawing/2014/main" id="{2417E638-101D-413A-AE91-8B3EFF09A3F6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336" name="Group 335">
                <a:extLst>
                  <a:ext uri="{FF2B5EF4-FFF2-40B4-BE49-F238E27FC236}">
                    <a16:creationId xmlns:a16="http://schemas.microsoft.com/office/drawing/2014/main" id="{B020E88C-0DE2-4D35-8B5E-CE6D0ED44811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337" name="Group 336">
                  <a:extLst>
                    <a:ext uri="{FF2B5EF4-FFF2-40B4-BE49-F238E27FC236}">
                      <a16:creationId xmlns:a16="http://schemas.microsoft.com/office/drawing/2014/main" id="{B9C91B42-FEA2-4469-8B5D-14012F32FB3E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348" name="Straight Connector 347">
                    <a:extLst>
                      <a:ext uri="{FF2B5EF4-FFF2-40B4-BE49-F238E27FC236}">
                        <a16:creationId xmlns:a16="http://schemas.microsoft.com/office/drawing/2014/main" id="{6EE954F8-EDAD-4A76-BB0F-44019F06FCD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9" name="Straight Connector 348">
                    <a:extLst>
                      <a:ext uri="{FF2B5EF4-FFF2-40B4-BE49-F238E27FC236}">
                        <a16:creationId xmlns:a16="http://schemas.microsoft.com/office/drawing/2014/main" id="{DBBB95E6-7B92-4593-8632-BF2C334BCABC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0" name="Straight Connector 349">
                    <a:extLst>
                      <a:ext uri="{FF2B5EF4-FFF2-40B4-BE49-F238E27FC236}">
                        <a16:creationId xmlns:a16="http://schemas.microsoft.com/office/drawing/2014/main" id="{3E1A7F68-D0F1-42CC-94C8-376EBEA3F222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1" name="Straight Connector 350">
                    <a:extLst>
                      <a:ext uri="{FF2B5EF4-FFF2-40B4-BE49-F238E27FC236}">
                        <a16:creationId xmlns:a16="http://schemas.microsoft.com/office/drawing/2014/main" id="{0746A5D6-D6CA-4683-AF29-361BBEC4C21F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8" name="Group 337">
                  <a:extLst>
                    <a:ext uri="{FF2B5EF4-FFF2-40B4-BE49-F238E27FC236}">
                      <a16:creationId xmlns:a16="http://schemas.microsoft.com/office/drawing/2014/main" id="{C7A96D4F-AB93-4D37-9654-824F582840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364F6281-CB68-4429-A334-7EEA79D63BD6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7E8CCC3A-2455-4156-86D3-6CDA41557930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7A2E09C9-CCA5-403C-97FF-7194269510AF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7" name="Straight Connector 346">
                    <a:extLst>
                      <a:ext uri="{FF2B5EF4-FFF2-40B4-BE49-F238E27FC236}">
                        <a16:creationId xmlns:a16="http://schemas.microsoft.com/office/drawing/2014/main" id="{3E36A065-4647-4729-BD5E-E5836A6B528E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9" name="Group 338">
                  <a:extLst>
                    <a:ext uri="{FF2B5EF4-FFF2-40B4-BE49-F238E27FC236}">
                      <a16:creationId xmlns:a16="http://schemas.microsoft.com/office/drawing/2014/main" id="{DF951596-CEF1-4E44-A4F6-932F02DCC39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0" name="Straight Connector 339">
                    <a:extLst>
                      <a:ext uri="{FF2B5EF4-FFF2-40B4-BE49-F238E27FC236}">
                        <a16:creationId xmlns:a16="http://schemas.microsoft.com/office/drawing/2014/main" id="{D4B8AA52-8F35-476F-9CEB-95A6BEFD5362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1" name="Straight Connector 340">
                    <a:extLst>
                      <a:ext uri="{FF2B5EF4-FFF2-40B4-BE49-F238E27FC236}">
                        <a16:creationId xmlns:a16="http://schemas.microsoft.com/office/drawing/2014/main" id="{CC1FF49B-6059-419F-AC2E-CDD805540849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2" name="Straight Connector 341">
                    <a:extLst>
                      <a:ext uri="{FF2B5EF4-FFF2-40B4-BE49-F238E27FC236}">
                        <a16:creationId xmlns:a16="http://schemas.microsoft.com/office/drawing/2014/main" id="{F2EB824D-A8D7-4B1D-9642-A74F612CCF4D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3" name="Straight Connector 342">
                    <a:extLst>
                      <a:ext uri="{FF2B5EF4-FFF2-40B4-BE49-F238E27FC236}">
                        <a16:creationId xmlns:a16="http://schemas.microsoft.com/office/drawing/2014/main" id="{ACFC859B-ABD6-4155-81CC-616133A350C5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332" name="Rectangle: Rounded Corners 331">
            <a:extLst>
              <a:ext uri="{FF2B5EF4-FFF2-40B4-BE49-F238E27FC236}">
                <a16:creationId xmlns:a16="http://schemas.microsoft.com/office/drawing/2014/main" id="{2F724A33-9C71-4937-9483-3A9155FCDC4A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BAC5111D-8C4C-47A3-93CE-48E5DE7A6621}" type="TxLink">
              <a:rPr lang="en-US" sz="1400" b="1" i="0" u="none" strike="noStrike">
                <a:solidFill>
                  <a:srgbClr val="00B05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Actual</a:t>
            </a:fld>
            <a:endParaRPr lang="en-GB" sz="140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495216</xdr:colOff>
      <xdr:row>21</xdr:row>
      <xdr:rowOff>154924</xdr:rowOff>
    </xdr:from>
    <xdr:to>
      <xdr:col>6</xdr:col>
      <xdr:colOff>60312</xdr:colOff>
      <xdr:row>26</xdr:row>
      <xdr:rowOff>102034</xdr:rowOff>
    </xdr:to>
    <xdr:grpSp>
      <xdr:nvGrpSpPr>
        <xdr:cNvPr id="398" name="GreenGroup 50">
          <a:extLst>
            <a:ext uri="{FF2B5EF4-FFF2-40B4-BE49-F238E27FC236}">
              <a16:creationId xmlns:a16="http://schemas.microsoft.com/office/drawing/2014/main" id="{493F46D3-05BE-4E07-BAF6-D542C0370C71}"/>
            </a:ext>
          </a:extLst>
        </xdr:cNvPr>
        <xdr:cNvGrpSpPr/>
      </xdr:nvGrpSpPr>
      <xdr:grpSpPr>
        <a:xfrm rot="11106818">
          <a:off x="4276641" y="4155424"/>
          <a:ext cx="784296" cy="899610"/>
          <a:chOff x="2304508" y="1097724"/>
          <a:chExt cx="1172913" cy="828440"/>
        </a:xfrm>
        <a:solidFill>
          <a:srgbClr val="00B050"/>
        </a:solidFill>
      </xdr:grpSpPr>
      <xdr:sp macro="" textlink="">
        <xdr:nvSpPr>
          <xdr:cNvPr id="399" name="GreenPointerTip">
            <a:extLst>
              <a:ext uri="{FF2B5EF4-FFF2-40B4-BE49-F238E27FC236}">
                <a16:creationId xmlns:a16="http://schemas.microsoft.com/office/drawing/2014/main" id="{DC350A83-CE56-4D68-86B8-D25A903D33F1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  <xdr:sp macro="" textlink="">
        <xdr:nvSpPr>
          <xdr:cNvPr id="400" name="GreenPointerInvisible">
            <a:extLst>
              <a:ext uri="{FF2B5EF4-FFF2-40B4-BE49-F238E27FC236}">
                <a16:creationId xmlns:a16="http://schemas.microsoft.com/office/drawing/2014/main" id="{8EF8793C-5F22-413C-81A5-92EECFD735DE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</xdr:grpSp>
    <xdr:clientData/>
  </xdr:twoCellAnchor>
  <xdr:twoCellAnchor>
    <xdr:from>
      <xdr:col>4</xdr:col>
      <xdr:colOff>502534</xdr:colOff>
      <xdr:row>22</xdr:row>
      <xdr:rowOff>122581</xdr:rowOff>
    </xdr:from>
    <xdr:to>
      <xdr:col>6</xdr:col>
      <xdr:colOff>133442</xdr:colOff>
      <xdr:row>25</xdr:row>
      <xdr:rowOff>145081</xdr:rowOff>
    </xdr:to>
    <xdr:grpSp>
      <xdr:nvGrpSpPr>
        <xdr:cNvPr id="401" name="GreenDial02">
          <a:extLst>
            <a:ext uri="{FF2B5EF4-FFF2-40B4-BE49-F238E27FC236}">
              <a16:creationId xmlns:a16="http://schemas.microsoft.com/office/drawing/2014/main" id="{B7544981-9C84-4E48-954A-13555E535AEB}"/>
            </a:ext>
          </a:extLst>
        </xdr:cNvPr>
        <xdr:cNvGrpSpPr/>
      </xdr:nvGrpSpPr>
      <xdr:grpSpPr>
        <a:xfrm>
          <a:off x="4283959" y="4313581"/>
          <a:ext cx="850108" cy="594000"/>
          <a:chOff x="6861862" y="1598543"/>
          <a:chExt cx="1157601" cy="917170"/>
        </a:xfrm>
        <a:solidFill>
          <a:srgbClr val="00B050"/>
        </a:solidFill>
        <a:scene3d>
          <a:camera prst="orthographicFront">
            <a:rot lat="0" lon="0" rev="0"/>
          </a:camera>
          <a:lightRig rig="soft" dir="t"/>
        </a:scene3d>
      </xdr:grpSpPr>
      <xdr:sp macro="" textlink="$C$2">
        <xdr:nvSpPr>
          <xdr:cNvPr id="402" name="Oval 401">
            <a:extLst>
              <a:ext uri="{FF2B5EF4-FFF2-40B4-BE49-F238E27FC236}">
                <a16:creationId xmlns:a16="http://schemas.microsoft.com/office/drawing/2014/main" id="{918622B1-408C-44D5-8E96-CF1862B39DDC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extrusionH="387350" prstMaterial="softEdge">
            <a:bevelT w="190500" h="69850" prst="relaxedInset"/>
            <a:extrusionClr>
              <a:schemeClr val="tx1">
                <a:lumMod val="95000"/>
                <a:lumOff val="5000"/>
              </a:schemeClr>
            </a:extrusion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rgbClr val="00B050"/>
              </a:solidFill>
              <a:latin typeface="Impact" panose="020B0806030902050204" pitchFamily="34" charset="0"/>
            </a:endParaRPr>
          </a:p>
        </xdr:txBody>
      </xdr:sp>
      <xdr:sp macro="" textlink="$M$40">
        <xdr:nvSpPr>
          <xdr:cNvPr id="403" name="TextBox 402">
            <a:extLst>
              <a:ext uri="{FF2B5EF4-FFF2-40B4-BE49-F238E27FC236}">
                <a16:creationId xmlns:a16="http://schemas.microsoft.com/office/drawing/2014/main" id="{D3EB62B5-D6B9-4474-B992-40A32E9D6EBF}"/>
              </a:ext>
            </a:extLst>
          </xdr:cNvPr>
          <xdr:cNvSpPr txBox="1"/>
        </xdr:nvSpPr>
        <xdr:spPr>
          <a:xfrm>
            <a:off x="6861862" y="1766421"/>
            <a:ext cx="1157601" cy="544743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5F605D7-0219-425F-ADCE-E7ECBE658452}" type="TxLink">
              <a:rPr lang="en-US" sz="1500" b="0" i="0" u="none" strike="noStrike">
                <a:ln w="3175">
                  <a:solidFill>
                    <a:sysClr val="windowText" lastClr="000000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t>68.56%</a:t>
            </a:fld>
            <a:endParaRPr lang="en-GB" sz="1500" b="0">
              <a:ln w="3175">
                <a:solidFill>
                  <a:sysClr val="windowText" lastClr="000000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9</xdr:col>
      <xdr:colOff>57799</xdr:colOff>
      <xdr:row>20</xdr:row>
      <xdr:rowOff>79600</xdr:rowOff>
    </xdr:from>
    <xdr:to>
      <xdr:col>10</xdr:col>
      <xdr:colOff>837501</xdr:colOff>
      <xdr:row>29</xdr:row>
      <xdr:rowOff>44135</xdr:rowOff>
    </xdr:to>
    <xdr:grpSp>
      <xdr:nvGrpSpPr>
        <xdr:cNvPr id="404" name="RedDial01">
          <a:extLst>
            <a:ext uri="{FF2B5EF4-FFF2-40B4-BE49-F238E27FC236}">
              <a16:creationId xmlns:a16="http://schemas.microsoft.com/office/drawing/2014/main" id="{B0CBC337-0815-4BFD-9A22-8A5C61A8FD9A}"/>
            </a:ext>
          </a:extLst>
        </xdr:cNvPr>
        <xdr:cNvGrpSpPr/>
      </xdr:nvGrpSpPr>
      <xdr:grpSpPr>
        <a:xfrm>
          <a:off x="7315849" y="3889600"/>
          <a:ext cx="1646477" cy="1679035"/>
          <a:chOff x="6369326" y="1134718"/>
          <a:chExt cx="2152957" cy="2152107"/>
        </a:xfrm>
      </xdr:grpSpPr>
      <xdr:sp macro="" textlink="">
        <xdr:nvSpPr>
          <xdr:cNvPr id="405" name="Rectangle: Rounded Corners 404">
            <a:extLst>
              <a:ext uri="{FF2B5EF4-FFF2-40B4-BE49-F238E27FC236}">
                <a16:creationId xmlns:a16="http://schemas.microsoft.com/office/drawing/2014/main" id="{AF0904FC-7EC2-4576-B4C6-97329529650A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406" name="BlueMain Dial">
            <a:extLst>
              <a:ext uri="{FF2B5EF4-FFF2-40B4-BE49-F238E27FC236}">
                <a16:creationId xmlns:a16="http://schemas.microsoft.com/office/drawing/2014/main" id="{3A7428AF-FA38-4C59-B3C0-65ED0AD7DDF3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463" name="Straight Connector 110">
              <a:extLst>
                <a:ext uri="{FF2B5EF4-FFF2-40B4-BE49-F238E27FC236}">
                  <a16:creationId xmlns:a16="http://schemas.microsoft.com/office/drawing/2014/main" id="{CCE47B2B-FF1A-4623-8CA2-D18489F6DAEC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4" name="Straight Connector 100">
              <a:extLst>
                <a:ext uri="{FF2B5EF4-FFF2-40B4-BE49-F238E27FC236}">
                  <a16:creationId xmlns:a16="http://schemas.microsoft.com/office/drawing/2014/main" id="{48637D54-92AF-4EBC-A7EB-B25BD6D2BF3D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5" name="Straight Connector 90">
              <a:extLst>
                <a:ext uri="{FF2B5EF4-FFF2-40B4-BE49-F238E27FC236}">
                  <a16:creationId xmlns:a16="http://schemas.microsoft.com/office/drawing/2014/main" id="{537755C9-AE89-4BD6-8224-669FA01CF504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6" name="Straight Connector 80">
              <a:extLst>
                <a:ext uri="{FF2B5EF4-FFF2-40B4-BE49-F238E27FC236}">
                  <a16:creationId xmlns:a16="http://schemas.microsoft.com/office/drawing/2014/main" id="{5D8BBCFB-498E-4EBE-8263-FD32CD675D0C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7" name="Straight Connector 70">
              <a:extLst>
                <a:ext uri="{FF2B5EF4-FFF2-40B4-BE49-F238E27FC236}">
                  <a16:creationId xmlns:a16="http://schemas.microsoft.com/office/drawing/2014/main" id="{AD4E70A9-26FE-4AFA-BFA3-D2CA6AA0161F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8" name="Straight Connector 60">
              <a:extLst>
                <a:ext uri="{FF2B5EF4-FFF2-40B4-BE49-F238E27FC236}">
                  <a16:creationId xmlns:a16="http://schemas.microsoft.com/office/drawing/2014/main" id="{305B4154-D988-4921-B31C-7965BD5296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9" name="Straight Connector 50">
              <a:extLst>
                <a:ext uri="{FF2B5EF4-FFF2-40B4-BE49-F238E27FC236}">
                  <a16:creationId xmlns:a16="http://schemas.microsoft.com/office/drawing/2014/main" id="{1DE1E09A-4D77-4599-A5BE-3A44424C2FE2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" name="Straight Connector 40">
              <a:extLst>
                <a:ext uri="{FF2B5EF4-FFF2-40B4-BE49-F238E27FC236}">
                  <a16:creationId xmlns:a16="http://schemas.microsoft.com/office/drawing/2014/main" id="{152F943D-7064-4CFD-A849-91522B7A201D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Straight Connector 30">
              <a:extLst>
                <a:ext uri="{FF2B5EF4-FFF2-40B4-BE49-F238E27FC236}">
                  <a16:creationId xmlns:a16="http://schemas.microsoft.com/office/drawing/2014/main" id="{96E69EEA-1CEF-4ABF-A633-7DE269CCC62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" name="Straight Connector 20">
              <a:extLst>
                <a:ext uri="{FF2B5EF4-FFF2-40B4-BE49-F238E27FC236}">
                  <a16:creationId xmlns:a16="http://schemas.microsoft.com/office/drawing/2014/main" id="{4CCFDC04-A5C4-4FFD-8F11-CDCDFDE440CB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3" name="Straight Connector 10">
              <a:extLst>
                <a:ext uri="{FF2B5EF4-FFF2-40B4-BE49-F238E27FC236}">
                  <a16:creationId xmlns:a16="http://schemas.microsoft.com/office/drawing/2014/main" id="{D5219E83-324B-4306-9C9B-A3F038B50AAB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" name="Straight Connector 00">
              <a:extLst>
                <a:ext uri="{FF2B5EF4-FFF2-40B4-BE49-F238E27FC236}">
                  <a16:creationId xmlns:a16="http://schemas.microsoft.com/office/drawing/2014/main" id="{BD6E936B-E14F-4C76-99D9-DC54AEC976E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7" name="BlueSec Dial">
            <a:extLst>
              <a:ext uri="{FF2B5EF4-FFF2-40B4-BE49-F238E27FC236}">
                <a16:creationId xmlns:a16="http://schemas.microsoft.com/office/drawing/2014/main" id="{A7FE4272-F26C-4364-9108-FDEE17B3D2A9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433" name="Straight Connector 01">
              <a:extLst>
                <a:ext uri="{FF2B5EF4-FFF2-40B4-BE49-F238E27FC236}">
                  <a16:creationId xmlns:a16="http://schemas.microsoft.com/office/drawing/2014/main" id="{DA6D758D-DB30-4A21-A9BA-D272D9BB1F3F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4" name="Straight Connector 02">
              <a:extLst>
                <a:ext uri="{FF2B5EF4-FFF2-40B4-BE49-F238E27FC236}">
                  <a16:creationId xmlns:a16="http://schemas.microsoft.com/office/drawing/2014/main" id="{9B0599D4-5D6E-480E-96B1-CFEE6A2E6B2A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5" name="Straight Connector 03">
              <a:extLst>
                <a:ext uri="{FF2B5EF4-FFF2-40B4-BE49-F238E27FC236}">
                  <a16:creationId xmlns:a16="http://schemas.microsoft.com/office/drawing/2014/main" id="{ED897FC9-71D6-46E8-9E51-44BB1F52DF39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6" name="Straight Connector 04">
              <a:extLst>
                <a:ext uri="{FF2B5EF4-FFF2-40B4-BE49-F238E27FC236}">
                  <a16:creationId xmlns:a16="http://schemas.microsoft.com/office/drawing/2014/main" id="{E6461A8E-55AA-491D-A2B4-208A26124A54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7" name="Straight Connector 05">
              <a:extLst>
                <a:ext uri="{FF2B5EF4-FFF2-40B4-BE49-F238E27FC236}">
                  <a16:creationId xmlns:a16="http://schemas.microsoft.com/office/drawing/2014/main" id="{08E19DD7-248F-492E-BCFE-62A41ACE49A7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8" name="Straight Connector 06">
              <a:extLst>
                <a:ext uri="{FF2B5EF4-FFF2-40B4-BE49-F238E27FC236}">
                  <a16:creationId xmlns:a16="http://schemas.microsoft.com/office/drawing/2014/main" id="{5B057902-2A5A-4D58-B97A-D089209F58D4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9" name="Straight Connector 07">
              <a:extLst>
                <a:ext uri="{FF2B5EF4-FFF2-40B4-BE49-F238E27FC236}">
                  <a16:creationId xmlns:a16="http://schemas.microsoft.com/office/drawing/2014/main" id="{6DC9FDEF-0898-46B3-9852-DF8588AE241B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0" name="Straight Connector 08">
              <a:extLst>
                <a:ext uri="{FF2B5EF4-FFF2-40B4-BE49-F238E27FC236}">
                  <a16:creationId xmlns:a16="http://schemas.microsoft.com/office/drawing/2014/main" id="{70BB0940-40AB-424D-B420-07F5CE1596E9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1" name="Straight Connector 09">
              <a:extLst>
                <a:ext uri="{FF2B5EF4-FFF2-40B4-BE49-F238E27FC236}">
                  <a16:creationId xmlns:a16="http://schemas.microsoft.com/office/drawing/2014/main" id="{0B27B6E9-4493-41FF-8ADE-37A6E566E4DF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2" name="Straight Connector 10">
              <a:extLst>
                <a:ext uri="{FF2B5EF4-FFF2-40B4-BE49-F238E27FC236}">
                  <a16:creationId xmlns:a16="http://schemas.microsoft.com/office/drawing/2014/main" id="{51FD7CE5-C4CA-4986-8CA5-97F70D0C7592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3" name="Straight Connector 11">
              <a:extLst>
                <a:ext uri="{FF2B5EF4-FFF2-40B4-BE49-F238E27FC236}">
                  <a16:creationId xmlns:a16="http://schemas.microsoft.com/office/drawing/2014/main" id="{4172AAC8-97CA-44AB-8EC1-91695557623E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4" name="Straight Connector 12">
              <a:extLst>
                <a:ext uri="{FF2B5EF4-FFF2-40B4-BE49-F238E27FC236}">
                  <a16:creationId xmlns:a16="http://schemas.microsoft.com/office/drawing/2014/main" id="{02410B47-F2DA-47B4-B776-5597787EFAD7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5" name="Straight Connector 13">
              <a:extLst>
                <a:ext uri="{FF2B5EF4-FFF2-40B4-BE49-F238E27FC236}">
                  <a16:creationId xmlns:a16="http://schemas.microsoft.com/office/drawing/2014/main" id="{ADB7F6DF-1FBA-4EED-BB66-B9263D8062F4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6" name="Straight Connector 14">
              <a:extLst>
                <a:ext uri="{FF2B5EF4-FFF2-40B4-BE49-F238E27FC236}">
                  <a16:creationId xmlns:a16="http://schemas.microsoft.com/office/drawing/2014/main" id="{9A377166-3299-4292-B75D-74896C439F8A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7" name="Straight Connector 15">
              <a:extLst>
                <a:ext uri="{FF2B5EF4-FFF2-40B4-BE49-F238E27FC236}">
                  <a16:creationId xmlns:a16="http://schemas.microsoft.com/office/drawing/2014/main" id="{2093C5A6-8FF5-4EEF-B77C-854EF81C1272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8" name="Straight Connector 16">
              <a:extLst>
                <a:ext uri="{FF2B5EF4-FFF2-40B4-BE49-F238E27FC236}">
                  <a16:creationId xmlns:a16="http://schemas.microsoft.com/office/drawing/2014/main" id="{771BF9A8-4CA4-44F8-91C5-F526C542D0BD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9" name="Straight Connector 17">
              <a:extLst>
                <a:ext uri="{FF2B5EF4-FFF2-40B4-BE49-F238E27FC236}">
                  <a16:creationId xmlns:a16="http://schemas.microsoft.com/office/drawing/2014/main" id="{1DA1F47E-6A57-4526-80F6-69507DA4031F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0" name="Straight Connector 18">
              <a:extLst>
                <a:ext uri="{FF2B5EF4-FFF2-40B4-BE49-F238E27FC236}">
                  <a16:creationId xmlns:a16="http://schemas.microsoft.com/office/drawing/2014/main" id="{C72F39E3-8013-4C3F-B710-20051FBB35E9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1" name="Straight Connector 19">
              <a:extLst>
                <a:ext uri="{FF2B5EF4-FFF2-40B4-BE49-F238E27FC236}">
                  <a16:creationId xmlns:a16="http://schemas.microsoft.com/office/drawing/2014/main" id="{118E6DF9-D87D-4766-95EE-BA6D01662635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2" name="Straight Connector 20">
              <a:extLst>
                <a:ext uri="{FF2B5EF4-FFF2-40B4-BE49-F238E27FC236}">
                  <a16:creationId xmlns:a16="http://schemas.microsoft.com/office/drawing/2014/main" id="{E5986996-C4F0-448C-B00C-00B9B62397E1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3" name="Straight Connector 21">
              <a:extLst>
                <a:ext uri="{FF2B5EF4-FFF2-40B4-BE49-F238E27FC236}">
                  <a16:creationId xmlns:a16="http://schemas.microsoft.com/office/drawing/2014/main" id="{AB40BCE8-ED67-487F-8BBE-317F343AAB90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4" name="Straight Connector 22">
              <a:extLst>
                <a:ext uri="{FF2B5EF4-FFF2-40B4-BE49-F238E27FC236}">
                  <a16:creationId xmlns:a16="http://schemas.microsoft.com/office/drawing/2014/main" id="{76247AF8-F755-48EA-9258-06419BE60CA7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5" name="Straight Connector 23">
              <a:extLst>
                <a:ext uri="{FF2B5EF4-FFF2-40B4-BE49-F238E27FC236}">
                  <a16:creationId xmlns:a16="http://schemas.microsoft.com/office/drawing/2014/main" id="{A5BD8A68-A975-4388-B32D-6A02C85CC23B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6" name="Straight Connector 24">
              <a:extLst>
                <a:ext uri="{FF2B5EF4-FFF2-40B4-BE49-F238E27FC236}">
                  <a16:creationId xmlns:a16="http://schemas.microsoft.com/office/drawing/2014/main" id="{17CA75EC-22CC-42B6-93B0-ECE9625E9B30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7" name="Straight Connector 25">
              <a:extLst>
                <a:ext uri="{FF2B5EF4-FFF2-40B4-BE49-F238E27FC236}">
                  <a16:creationId xmlns:a16="http://schemas.microsoft.com/office/drawing/2014/main" id="{48C936FF-B34E-4AFA-BA28-C8305EF380DC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8" name="Straight Connector 26">
              <a:extLst>
                <a:ext uri="{FF2B5EF4-FFF2-40B4-BE49-F238E27FC236}">
                  <a16:creationId xmlns:a16="http://schemas.microsoft.com/office/drawing/2014/main" id="{242B6DE8-F068-46D0-A5DD-8E88694EB7AC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9" name="Straight Connector 27">
              <a:extLst>
                <a:ext uri="{FF2B5EF4-FFF2-40B4-BE49-F238E27FC236}">
                  <a16:creationId xmlns:a16="http://schemas.microsoft.com/office/drawing/2014/main" id="{B5E7FB1C-859B-4AF1-A259-83D4B96AE5C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0" name="Straight Connector 28">
              <a:extLst>
                <a:ext uri="{FF2B5EF4-FFF2-40B4-BE49-F238E27FC236}">
                  <a16:creationId xmlns:a16="http://schemas.microsoft.com/office/drawing/2014/main" id="{A49CCAA3-5AE5-4F1A-84A8-E42F29426B21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1" name="Straight Connector 29">
              <a:extLst>
                <a:ext uri="{FF2B5EF4-FFF2-40B4-BE49-F238E27FC236}">
                  <a16:creationId xmlns:a16="http://schemas.microsoft.com/office/drawing/2014/main" id="{42AB7C93-A3F2-4CEE-809F-E00C5190DB69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2" name="Straight Connector 30">
              <a:extLst>
                <a:ext uri="{FF2B5EF4-FFF2-40B4-BE49-F238E27FC236}">
                  <a16:creationId xmlns:a16="http://schemas.microsoft.com/office/drawing/2014/main" id="{999BFCD3-50E7-4A3F-9318-F0F23AE101EF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8" name="Group 407">
            <a:extLst>
              <a:ext uri="{FF2B5EF4-FFF2-40B4-BE49-F238E27FC236}">
                <a16:creationId xmlns:a16="http://schemas.microsoft.com/office/drawing/2014/main" id="{D6B9614C-0879-4F68-A9EF-126841B6AC07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410" name="Blue Oval 2">
              <a:extLst>
                <a:ext uri="{FF2B5EF4-FFF2-40B4-BE49-F238E27FC236}">
                  <a16:creationId xmlns:a16="http://schemas.microsoft.com/office/drawing/2014/main" id="{B14D7140-147A-485C-B746-A0922D8A4BF7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411" name="Group 410">
              <a:extLst>
                <a:ext uri="{FF2B5EF4-FFF2-40B4-BE49-F238E27FC236}">
                  <a16:creationId xmlns:a16="http://schemas.microsoft.com/office/drawing/2014/main" id="{E93A3D30-4517-4C94-8A82-4A03365967D8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412" name="Group 411">
                <a:extLst>
                  <a:ext uri="{FF2B5EF4-FFF2-40B4-BE49-F238E27FC236}">
                    <a16:creationId xmlns:a16="http://schemas.microsoft.com/office/drawing/2014/main" id="{98CB3976-72D7-4CC9-8079-2F740EA988AA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429" name="Straight Connector 428">
                  <a:extLst>
                    <a:ext uri="{FF2B5EF4-FFF2-40B4-BE49-F238E27FC236}">
                      <a16:creationId xmlns:a16="http://schemas.microsoft.com/office/drawing/2014/main" id="{516B9263-C07F-4268-935E-EF2656F409C4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0" name="Straight Connector 429">
                  <a:extLst>
                    <a:ext uri="{FF2B5EF4-FFF2-40B4-BE49-F238E27FC236}">
                      <a16:creationId xmlns:a16="http://schemas.microsoft.com/office/drawing/2014/main" id="{5CAE3E67-7263-4971-A396-0D55DC582EBF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1" name="Straight Connector 430">
                  <a:extLst>
                    <a:ext uri="{FF2B5EF4-FFF2-40B4-BE49-F238E27FC236}">
                      <a16:creationId xmlns:a16="http://schemas.microsoft.com/office/drawing/2014/main" id="{5DE97883-8659-4287-8893-447BD3FB3F6D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2" name="Straight Connector 431">
                  <a:extLst>
                    <a:ext uri="{FF2B5EF4-FFF2-40B4-BE49-F238E27FC236}">
                      <a16:creationId xmlns:a16="http://schemas.microsoft.com/office/drawing/2014/main" id="{E6699AAD-4AA0-4CA5-8AD5-CFD674BE417B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413" name="Group 412">
                <a:extLst>
                  <a:ext uri="{FF2B5EF4-FFF2-40B4-BE49-F238E27FC236}">
                    <a16:creationId xmlns:a16="http://schemas.microsoft.com/office/drawing/2014/main" id="{0F0C20FC-4EC8-47A5-887A-902A00676D2F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414" name="Group 413">
                  <a:extLst>
                    <a:ext uri="{FF2B5EF4-FFF2-40B4-BE49-F238E27FC236}">
                      <a16:creationId xmlns:a16="http://schemas.microsoft.com/office/drawing/2014/main" id="{86D32260-D26B-4C2B-A28E-70D5371A2903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425" name="Straight Connector 424">
                    <a:extLst>
                      <a:ext uri="{FF2B5EF4-FFF2-40B4-BE49-F238E27FC236}">
                        <a16:creationId xmlns:a16="http://schemas.microsoft.com/office/drawing/2014/main" id="{5CCD5727-22C1-442F-869D-11841E256CB0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6" name="Straight Connector 425">
                    <a:extLst>
                      <a:ext uri="{FF2B5EF4-FFF2-40B4-BE49-F238E27FC236}">
                        <a16:creationId xmlns:a16="http://schemas.microsoft.com/office/drawing/2014/main" id="{07040F90-B167-4548-AA62-4EBBE1988846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7" name="Straight Connector 426">
                    <a:extLst>
                      <a:ext uri="{FF2B5EF4-FFF2-40B4-BE49-F238E27FC236}">
                        <a16:creationId xmlns:a16="http://schemas.microsoft.com/office/drawing/2014/main" id="{C0FA9A1F-E7B6-4E2E-9583-20F310460E21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8" name="Straight Connector 427">
                    <a:extLst>
                      <a:ext uri="{FF2B5EF4-FFF2-40B4-BE49-F238E27FC236}">
                        <a16:creationId xmlns:a16="http://schemas.microsoft.com/office/drawing/2014/main" id="{CE45B096-CFF8-4208-A9FA-30204D696529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5" name="Group 414">
                  <a:extLst>
                    <a:ext uri="{FF2B5EF4-FFF2-40B4-BE49-F238E27FC236}">
                      <a16:creationId xmlns:a16="http://schemas.microsoft.com/office/drawing/2014/main" id="{BDC189AD-B539-4B92-9DF9-E2BBB10224CE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21" name="Straight Connector 420">
                    <a:extLst>
                      <a:ext uri="{FF2B5EF4-FFF2-40B4-BE49-F238E27FC236}">
                        <a16:creationId xmlns:a16="http://schemas.microsoft.com/office/drawing/2014/main" id="{D6FF6850-E361-4D1E-B399-77AAC5D77EAC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2" name="Straight Connector 421">
                    <a:extLst>
                      <a:ext uri="{FF2B5EF4-FFF2-40B4-BE49-F238E27FC236}">
                        <a16:creationId xmlns:a16="http://schemas.microsoft.com/office/drawing/2014/main" id="{35103B40-9DA1-44F5-A530-6F3EB64826E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3" name="Straight Connector 422">
                    <a:extLst>
                      <a:ext uri="{FF2B5EF4-FFF2-40B4-BE49-F238E27FC236}">
                        <a16:creationId xmlns:a16="http://schemas.microsoft.com/office/drawing/2014/main" id="{C17FA782-A768-452D-9118-FF49C669CA56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4" name="Straight Connector 423">
                    <a:extLst>
                      <a:ext uri="{FF2B5EF4-FFF2-40B4-BE49-F238E27FC236}">
                        <a16:creationId xmlns:a16="http://schemas.microsoft.com/office/drawing/2014/main" id="{50679BE8-1DF2-4435-A3DF-1C788E9D1D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6" name="Group 415">
                  <a:extLst>
                    <a:ext uri="{FF2B5EF4-FFF2-40B4-BE49-F238E27FC236}">
                      <a16:creationId xmlns:a16="http://schemas.microsoft.com/office/drawing/2014/main" id="{B4C64E69-76C9-46BF-88EF-D6B1BD9C00A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17" name="Straight Connector 416">
                    <a:extLst>
                      <a:ext uri="{FF2B5EF4-FFF2-40B4-BE49-F238E27FC236}">
                        <a16:creationId xmlns:a16="http://schemas.microsoft.com/office/drawing/2014/main" id="{6B312266-9D75-435E-9703-6702248F0F4B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8" name="Straight Connector 417">
                    <a:extLst>
                      <a:ext uri="{FF2B5EF4-FFF2-40B4-BE49-F238E27FC236}">
                        <a16:creationId xmlns:a16="http://schemas.microsoft.com/office/drawing/2014/main" id="{201B243C-5A2C-41B7-BB50-67F1AD02EB23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9" name="Straight Connector 418">
                    <a:extLst>
                      <a:ext uri="{FF2B5EF4-FFF2-40B4-BE49-F238E27FC236}">
                        <a16:creationId xmlns:a16="http://schemas.microsoft.com/office/drawing/2014/main" id="{6FA72148-9B42-4C7C-A5B3-C6998ADD21BA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0" name="Straight Connector 419">
                    <a:extLst>
                      <a:ext uri="{FF2B5EF4-FFF2-40B4-BE49-F238E27FC236}">
                        <a16:creationId xmlns:a16="http://schemas.microsoft.com/office/drawing/2014/main" id="{C9568057-71DB-42F5-8619-B46320D7EFFD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N$39">
        <xdr:nvSpPr>
          <xdr:cNvPr id="409" name="Rectangle: Rounded Corners 408">
            <a:extLst>
              <a:ext uri="{FF2B5EF4-FFF2-40B4-BE49-F238E27FC236}">
                <a16:creationId xmlns:a16="http://schemas.microsoft.com/office/drawing/2014/main" id="{38AAC3A0-F4F7-4DD7-A21E-95ED73349F05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381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8EF601AC-4FD5-45EB-9B0F-C553618E787A}" type="TxLink">
              <a:rPr lang="en-US" sz="1400" b="1" i="0" u="none" strike="noStrike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Remaining</a:t>
            </a:fld>
            <a:endParaRPr lang="en-GB" sz="14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447238</xdr:colOff>
      <xdr:row>22</xdr:row>
      <xdr:rowOff>56196</xdr:rowOff>
    </xdr:from>
    <xdr:to>
      <xdr:col>10</xdr:col>
      <xdr:colOff>461472</xdr:colOff>
      <xdr:row>26</xdr:row>
      <xdr:rowOff>1185</xdr:rowOff>
    </xdr:to>
    <xdr:grpSp>
      <xdr:nvGrpSpPr>
        <xdr:cNvPr id="475" name="RedGroup 50">
          <a:extLst>
            <a:ext uri="{FF2B5EF4-FFF2-40B4-BE49-F238E27FC236}">
              <a16:creationId xmlns:a16="http://schemas.microsoft.com/office/drawing/2014/main" id="{5BC4052C-68AC-4F2D-93AF-5840B2ACF065}"/>
            </a:ext>
          </a:extLst>
        </xdr:cNvPr>
        <xdr:cNvGrpSpPr/>
      </xdr:nvGrpSpPr>
      <xdr:grpSpPr>
        <a:xfrm rot="14011772">
          <a:off x="7792298" y="4160186"/>
          <a:ext cx="706989" cy="881009"/>
          <a:chOff x="2304508" y="1097724"/>
          <a:chExt cx="1172913" cy="828440"/>
        </a:xfrm>
      </xdr:grpSpPr>
      <xdr:sp macro="" textlink="">
        <xdr:nvSpPr>
          <xdr:cNvPr id="476" name="RedPointerTip">
            <a:extLst>
              <a:ext uri="{FF2B5EF4-FFF2-40B4-BE49-F238E27FC236}">
                <a16:creationId xmlns:a16="http://schemas.microsoft.com/office/drawing/2014/main" id="{262C2022-16B8-4F79-9261-08DB3D91066F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solidFill>
            <a:srgbClr val="FF0000"/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477" name="RedPointerInvisible">
            <a:extLst>
              <a:ext uri="{FF2B5EF4-FFF2-40B4-BE49-F238E27FC236}">
                <a16:creationId xmlns:a16="http://schemas.microsoft.com/office/drawing/2014/main" id="{C438678B-B165-4D01-8B22-3D5D0794E7D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9</xdr:col>
      <xdr:colOff>453275</xdr:colOff>
      <xdr:row>22</xdr:row>
      <xdr:rowOff>121490</xdr:rowOff>
    </xdr:from>
    <xdr:to>
      <xdr:col>10</xdr:col>
      <xdr:colOff>442025</xdr:colOff>
      <xdr:row>25</xdr:row>
      <xdr:rowOff>145440</xdr:rowOff>
    </xdr:to>
    <xdr:grpSp>
      <xdr:nvGrpSpPr>
        <xdr:cNvPr id="478" name="RedDial02">
          <a:extLst>
            <a:ext uri="{FF2B5EF4-FFF2-40B4-BE49-F238E27FC236}">
              <a16:creationId xmlns:a16="http://schemas.microsoft.com/office/drawing/2014/main" id="{F8A5A38B-9E3D-452D-90C9-621EFC71362E}"/>
            </a:ext>
          </a:extLst>
        </xdr:cNvPr>
        <xdr:cNvGrpSpPr/>
      </xdr:nvGrpSpPr>
      <xdr:grpSpPr>
        <a:xfrm>
          <a:off x="7711325" y="4312490"/>
          <a:ext cx="855525" cy="595450"/>
          <a:chOff x="6811350" y="1598543"/>
          <a:chExt cx="1251446" cy="917170"/>
        </a:xfrm>
        <a:scene3d>
          <a:camera prst="orthographicFront">
            <a:rot lat="0" lon="0" rev="0"/>
          </a:camera>
          <a:lightRig rig="threePt" dir="t">
            <a:rot lat="0" lon="0" rev="3000000"/>
          </a:lightRig>
        </a:scene3d>
      </xdr:grpSpPr>
      <xdr:sp macro="" textlink="$C$2">
        <xdr:nvSpPr>
          <xdr:cNvPr id="479" name="Oval 478">
            <a:extLst>
              <a:ext uri="{FF2B5EF4-FFF2-40B4-BE49-F238E27FC236}">
                <a16:creationId xmlns:a16="http://schemas.microsoft.com/office/drawing/2014/main" id="{25995324-FB63-4FA1-ADA0-0A1FB1DD099B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rgbClr val="FF0000"/>
          </a:solidFill>
          <a:ln>
            <a:noFill/>
          </a:ln>
          <a:effectLst>
            <a:outerShdw blurRad="149987" dist="250190" dir="8460000" algn="ctr">
              <a:schemeClr val="tx1">
                <a:alpha val="28000"/>
              </a:scheme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N$40">
        <xdr:nvSpPr>
          <xdr:cNvPr id="480" name="TextBox 479">
            <a:extLst>
              <a:ext uri="{FF2B5EF4-FFF2-40B4-BE49-F238E27FC236}">
                <a16:creationId xmlns:a16="http://schemas.microsoft.com/office/drawing/2014/main" id="{89D4E210-3BC2-4F46-B2B2-BCE794065F08}"/>
              </a:ext>
            </a:extLst>
          </xdr:cNvPr>
          <xdr:cNvSpPr txBox="1"/>
        </xdr:nvSpPr>
        <xdr:spPr>
          <a:xfrm>
            <a:off x="6811350" y="1798338"/>
            <a:ext cx="1251446" cy="49515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82FDCC9-2FB1-456B-A612-F98B44C967BB}" type="TxLink">
              <a:rPr lang="en-US" sz="1500" b="0" i="0" u="none" strike="noStrike">
                <a:ln w="3175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t>86.49%</a:t>
            </a:fld>
            <a:endParaRPr lang="en-GB" sz="1500" b="0">
              <a:ln w="3175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0.90654</cdr:x>
      <cdr:y>0.00447</cdr:y>
    </cdr:from>
    <cdr:to>
      <cdr:x>0.98215</cdr:x>
      <cdr:y>0.97445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FCE8FB3-D746-408B-B345-96DCC8CEF685}"/>
            </a:ext>
          </a:extLst>
        </cdr:cNvPr>
        <cdr:cNvSpPr/>
      </cdr:nvSpPr>
      <cdr:spPr>
        <a:xfrm xmlns:a="http://schemas.openxmlformats.org/drawingml/2006/main">
          <a:off x="6716580" y="9399"/>
          <a:ext cx="560184" cy="203929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0</xdr:rowOff>
    </xdr:from>
    <xdr:to>
      <xdr:col>26</xdr:col>
      <xdr:colOff>45947</xdr:colOff>
      <xdr:row>37</xdr:row>
      <xdr:rowOff>8643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2395FD-8697-4CDA-A842-667EA80A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0"/>
          <a:ext cx="13419047" cy="70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ElTalkhawy\Nesma\Files\Xcelsius\Monthly%20Report\Monthly%20report%20%23%2062%20-%20November%202019,%20Arabic\exereport\Xcelsius%20Dashboard%20in%20Excel,%20Nov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"/>
      <sheetName val="Xcelsius Dashboard Large"/>
      <sheetName val="MonthData"/>
      <sheetName val="Sites Dashboard"/>
      <sheetName val="DC Dashboard"/>
      <sheetName val="CEO Dashboard"/>
      <sheetName val="Historic"/>
      <sheetName val="CEOData"/>
      <sheetName val="Sheet3"/>
    </sheetNames>
    <sheetDataSet>
      <sheetData sheetId="0"/>
      <sheetData sheetId="1"/>
      <sheetData sheetId="2"/>
      <sheetData sheetId="3">
        <row r="31">
          <cell r="I31">
            <v>43435</v>
          </cell>
          <cell r="J31">
            <v>43466</v>
          </cell>
          <cell r="K31">
            <v>43497</v>
          </cell>
          <cell r="L31">
            <v>43525</v>
          </cell>
          <cell r="M31">
            <v>43556</v>
          </cell>
          <cell r="N31">
            <v>43586</v>
          </cell>
          <cell r="O31">
            <v>43617</v>
          </cell>
          <cell r="P31">
            <v>43647</v>
          </cell>
          <cell r="Q31">
            <v>43678</v>
          </cell>
          <cell r="R31">
            <v>43709</v>
          </cell>
          <cell r="S31">
            <v>43739</v>
          </cell>
          <cell r="T31">
            <v>43770</v>
          </cell>
        </row>
        <row r="34">
          <cell r="E34" t="str">
            <v xml:space="preserve"> (التراكمي)المخطط</v>
          </cell>
          <cell r="F34"/>
          <cell r="G34"/>
          <cell r="H34"/>
          <cell r="I34">
            <v>0.99670000000000003</v>
          </cell>
          <cell r="J34">
            <v>0.99830000000000008</v>
          </cell>
          <cell r="K34">
            <v>0.99990000000000012</v>
          </cell>
          <cell r="L34">
            <v>1.0000000000000002</v>
          </cell>
          <cell r="M34">
            <v>1.0000000000000002</v>
          </cell>
          <cell r="N34">
            <v>1.0000000000000002</v>
          </cell>
          <cell r="O34">
            <v>1.0000000000000002</v>
          </cell>
          <cell r="P34">
            <v>1.0000000000000002</v>
          </cell>
          <cell r="Q34">
            <v>1.0000000000000002</v>
          </cell>
          <cell r="R34">
            <v>1.0000000000000002</v>
          </cell>
          <cell r="S34">
            <v>1.0000000000000002</v>
          </cell>
          <cell r="T34">
            <v>1.0000000000000002</v>
          </cell>
        </row>
        <row r="35">
          <cell r="E35" t="str">
            <v>(التراكمي)الفعلي</v>
          </cell>
          <cell r="F35"/>
          <cell r="G35"/>
          <cell r="H35"/>
          <cell r="I35">
            <v>0.70150000000000001</v>
          </cell>
          <cell r="J35">
            <v>0.7147</v>
          </cell>
          <cell r="K35">
            <v>0.71850000000000003</v>
          </cell>
          <cell r="L35">
            <v>0.73609999999999998</v>
          </cell>
          <cell r="M35">
            <v>0.76300000000000001</v>
          </cell>
          <cell r="N35">
            <v>0.7762</v>
          </cell>
          <cell r="O35">
            <v>0.78710000000000002</v>
          </cell>
          <cell r="P35">
            <v>0.79810000000000003</v>
          </cell>
          <cell r="Q35">
            <v>0.81240000000000001</v>
          </cell>
          <cell r="R35">
            <v>0.82920000000000005</v>
          </cell>
          <cell r="S35">
            <v>0.83540000000000003</v>
          </cell>
          <cell r="T35">
            <v>0.83540000000000003</v>
          </cell>
        </row>
      </sheetData>
      <sheetData sheetId="4"/>
      <sheetData sheetId="5"/>
      <sheetData sheetId="6">
        <row r="2">
          <cell r="G2">
            <v>43344</v>
          </cell>
          <cell r="H2">
            <v>43374</v>
          </cell>
          <cell r="I2">
            <v>43405</v>
          </cell>
          <cell r="J2">
            <v>43435</v>
          </cell>
          <cell r="K2">
            <v>43466</v>
          </cell>
          <cell r="L2">
            <v>43497</v>
          </cell>
          <cell r="M2">
            <v>43525</v>
          </cell>
          <cell r="N2">
            <v>43556</v>
          </cell>
          <cell r="O2">
            <v>43586</v>
          </cell>
          <cell r="P2">
            <v>43617</v>
          </cell>
          <cell r="Q2">
            <v>43647</v>
          </cell>
          <cell r="R2">
            <v>43678</v>
          </cell>
          <cell r="S2">
            <v>43709</v>
          </cell>
          <cell r="T2">
            <v>43739</v>
          </cell>
          <cell r="U2">
            <v>43770</v>
          </cell>
          <cell r="V2">
            <v>43800</v>
          </cell>
          <cell r="W2">
            <v>43831</v>
          </cell>
          <cell r="X2">
            <v>43862</v>
          </cell>
          <cell r="Y2">
            <v>43891</v>
          </cell>
          <cell r="Z2">
            <v>43922</v>
          </cell>
          <cell r="AA2">
            <v>43952</v>
          </cell>
          <cell r="AB2">
            <v>43983</v>
          </cell>
          <cell r="AC2">
            <v>44013</v>
          </cell>
          <cell r="AD2">
            <v>44044</v>
          </cell>
          <cell r="AE2">
            <v>44075</v>
          </cell>
          <cell r="AF2">
            <v>44105</v>
          </cell>
          <cell r="AG2">
            <v>44136</v>
          </cell>
          <cell r="AH2">
            <v>44166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1B95-0615-4E53-A504-86D5FF5E9AC1}">
  <sheetPr codeName="Sheet1"/>
  <dimension ref="B1:AZ121"/>
  <sheetViews>
    <sheetView workbookViewId="0">
      <selection activeCell="I44" sqref="I44"/>
    </sheetView>
  </sheetViews>
  <sheetFormatPr defaultRowHeight="15" x14ac:dyDescent="0.25"/>
  <cols>
    <col min="2" max="2" width="13.7109375" bestFit="1" customWidth="1"/>
    <col min="3" max="3" width="18.85546875" bestFit="1" customWidth="1"/>
    <col min="4" max="4" width="20.140625" bestFit="1" customWidth="1"/>
    <col min="5" max="28" width="8.85546875" style="2"/>
    <col min="29" max="52" width="8.85546875" style="1"/>
  </cols>
  <sheetData>
    <row r="1" spans="2:52" ht="15.75" thickBot="1" x14ac:dyDescent="0.3">
      <c r="E1" s="12" t="s">
        <v>25</v>
      </c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4"/>
      <c r="AC1" s="9" t="s">
        <v>33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1"/>
    </row>
    <row r="2" spans="2:52" ht="15.75" thickBot="1" x14ac:dyDescent="0.3">
      <c r="B2" s="65" t="s">
        <v>30</v>
      </c>
      <c r="C2" s="63" t="s">
        <v>31</v>
      </c>
      <c r="D2" s="64" t="s">
        <v>32</v>
      </c>
      <c r="E2" s="3">
        <v>43101</v>
      </c>
      <c r="F2" s="4">
        <v>43132</v>
      </c>
      <c r="G2" s="4">
        <v>43160</v>
      </c>
      <c r="H2" s="4">
        <v>43191</v>
      </c>
      <c r="I2" s="4">
        <v>43221</v>
      </c>
      <c r="J2" s="4">
        <v>43252</v>
      </c>
      <c r="K2" s="4">
        <v>43282</v>
      </c>
      <c r="L2" s="4">
        <v>43313</v>
      </c>
      <c r="M2" s="4">
        <v>43344</v>
      </c>
      <c r="N2" s="4">
        <v>43374</v>
      </c>
      <c r="O2" s="4">
        <v>43405</v>
      </c>
      <c r="P2" s="5">
        <v>43435</v>
      </c>
      <c r="Q2" s="3">
        <v>43466</v>
      </c>
      <c r="R2" s="4">
        <v>43497</v>
      </c>
      <c r="S2" s="4">
        <v>43525</v>
      </c>
      <c r="T2" s="4">
        <v>43556</v>
      </c>
      <c r="U2" s="4">
        <v>43586</v>
      </c>
      <c r="V2" s="4">
        <v>43617</v>
      </c>
      <c r="W2" s="4">
        <v>43647</v>
      </c>
      <c r="X2" s="4">
        <v>43678</v>
      </c>
      <c r="Y2" s="4">
        <v>43709</v>
      </c>
      <c r="Z2" s="4">
        <v>43739</v>
      </c>
      <c r="AA2" s="4">
        <v>43770</v>
      </c>
      <c r="AB2" s="5">
        <v>43800</v>
      </c>
      <c r="AC2" s="6">
        <v>43101</v>
      </c>
      <c r="AD2" s="7">
        <v>43132</v>
      </c>
      <c r="AE2" s="7">
        <v>43160</v>
      </c>
      <c r="AF2" s="7">
        <v>43191</v>
      </c>
      <c r="AG2" s="7">
        <v>43221</v>
      </c>
      <c r="AH2" s="7">
        <v>43252</v>
      </c>
      <c r="AI2" s="7">
        <v>43282</v>
      </c>
      <c r="AJ2" s="7">
        <v>43313</v>
      </c>
      <c r="AK2" s="7">
        <v>43344</v>
      </c>
      <c r="AL2" s="7">
        <v>43374</v>
      </c>
      <c r="AM2" s="7">
        <v>43405</v>
      </c>
      <c r="AN2" s="8">
        <v>43435</v>
      </c>
      <c r="AO2" s="6">
        <v>43466</v>
      </c>
      <c r="AP2" s="7">
        <v>43497</v>
      </c>
      <c r="AQ2" s="7">
        <v>43525</v>
      </c>
      <c r="AR2" s="7">
        <v>43556</v>
      </c>
      <c r="AS2" s="7">
        <v>43586</v>
      </c>
      <c r="AT2" s="7">
        <v>43617</v>
      </c>
      <c r="AU2" s="7">
        <v>43647</v>
      </c>
      <c r="AV2" s="7">
        <v>43678</v>
      </c>
      <c r="AW2" s="7">
        <v>43709</v>
      </c>
      <c r="AX2" s="7">
        <v>43739</v>
      </c>
      <c r="AY2" s="7">
        <v>43770</v>
      </c>
      <c r="AZ2" s="8">
        <v>43800</v>
      </c>
    </row>
    <row r="3" spans="2:52" x14ac:dyDescent="0.25">
      <c r="B3" s="32" t="s">
        <v>0</v>
      </c>
      <c r="C3" s="60">
        <v>43467</v>
      </c>
      <c r="D3" s="60">
        <v>44275.514285714286</v>
      </c>
      <c r="E3" s="39">
        <v>0</v>
      </c>
      <c r="F3" s="40">
        <v>1.6070815636973552E-2</v>
      </c>
      <c r="G3" s="40">
        <v>2.70508606900704E-2</v>
      </c>
      <c r="H3" s="40">
        <v>3.830341048140528E-2</v>
      </c>
      <c r="I3" s="40">
        <v>6.2168465140380838E-2</v>
      </c>
      <c r="J3" s="40">
        <v>6.3545453091735857E-2</v>
      </c>
      <c r="K3" s="40">
        <v>8.0308377573779566E-2</v>
      </c>
      <c r="L3" s="40">
        <v>9.628521918450432E-2</v>
      </c>
      <c r="M3" s="40">
        <v>9.7848511841441971E-2</v>
      </c>
      <c r="N3" s="40">
        <v>0.11700184470172406</v>
      </c>
      <c r="O3" s="40">
        <v>0.13973321676440553</v>
      </c>
      <c r="P3" s="41">
        <v>0.15019543971100002</v>
      </c>
      <c r="Q3" s="42">
        <v>0.17273409346353186</v>
      </c>
      <c r="R3" s="40">
        <v>0.17951967716715769</v>
      </c>
      <c r="S3" s="40">
        <v>0.18728442613076898</v>
      </c>
      <c r="T3" s="40">
        <v>0.20262495644414455</v>
      </c>
      <c r="U3" s="40">
        <v>0.20916021750474353</v>
      </c>
      <c r="V3" s="40">
        <v>0.22494893733028448</v>
      </c>
      <c r="W3" s="40">
        <v>0.24285327480073737</v>
      </c>
      <c r="X3" s="40">
        <v>0.26008880622497821</v>
      </c>
      <c r="Y3" s="40">
        <v>0.26247166070472105</v>
      </c>
      <c r="Z3" s="40">
        <v>0.29053592358610819</v>
      </c>
      <c r="AA3" s="40">
        <v>0.29406664836142299</v>
      </c>
      <c r="AB3" s="41">
        <v>0.30373636883850763</v>
      </c>
      <c r="AC3" s="43">
        <v>4.1666666666667039E-2</v>
      </c>
      <c r="AD3" s="44">
        <v>8.3333333333333703E-2</v>
      </c>
      <c r="AE3" s="44">
        <v>0.12500000000000036</v>
      </c>
      <c r="AF3" s="44">
        <v>0.16666666666666702</v>
      </c>
      <c r="AG3" s="44">
        <v>0.20833333333333368</v>
      </c>
      <c r="AH3" s="44">
        <v>0.25000000000000033</v>
      </c>
      <c r="AI3" s="44">
        <v>0.29166666666666702</v>
      </c>
      <c r="AJ3" s="44">
        <v>0.3333333333333337</v>
      </c>
      <c r="AK3" s="44">
        <v>0.37500000000000039</v>
      </c>
      <c r="AL3" s="44">
        <v>0.41666666666666707</v>
      </c>
      <c r="AM3" s="44">
        <v>0.45833333333333376</v>
      </c>
      <c r="AN3" s="45">
        <v>0.50000000000000044</v>
      </c>
      <c r="AO3" s="43">
        <v>0.54166666666666707</v>
      </c>
      <c r="AP3" s="44">
        <v>0.5833333333333337</v>
      </c>
      <c r="AQ3" s="44">
        <v>0.62500000000000033</v>
      </c>
      <c r="AR3" s="44">
        <v>0.66666666666666696</v>
      </c>
      <c r="AS3" s="44">
        <v>0.70833333333333359</v>
      </c>
      <c r="AT3" s="44">
        <v>0.75000000000000022</v>
      </c>
      <c r="AU3" s="44">
        <v>0.79166666666666685</v>
      </c>
      <c r="AV3" s="44">
        <v>0.83333333333333348</v>
      </c>
      <c r="AW3" s="44">
        <v>0.87500000000000011</v>
      </c>
      <c r="AX3" s="44">
        <v>0.91666666666666674</v>
      </c>
      <c r="AY3" s="44">
        <v>0.95833333333333337</v>
      </c>
      <c r="AZ3" s="45">
        <v>1</v>
      </c>
    </row>
    <row r="4" spans="2:52" x14ac:dyDescent="0.25">
      <c r="B4" s="33" t="s">
        <v>1</v>
      </c>
      <c r="C4" s="61">
        <v>43453</v>
      </c>
      <c r="D4" s="61">
        <v>44115.956843403204</v>
      </c>
      <c r="E4" s="46">
        <v>0</v>
      </c>
      <c r="F4" s="47">
        <v>1.3913394426879834E-2</v>
      </c>
      <c r="G4" s="47">
        <v>3.8794859512936562E-2</v>
      </c>
      <c r="H4" s="47">
        <v>5.1653362506817041E-2</v>
      </c>
      <c r="I4" s="47">
        <v>7.5753086404766634E-2</v>
      </c>
      <c r="J4" s="47">
        <v>0.10328864905444599</v>
      </c>
      <c r="K4" s="47">
        <v>0.1221408320567389</v>
      </c>
      <c r="L4" s="47">
        <v>0.1397125872286093</v>
      </c>
      <c r="M4" s="47">
        <v>0.16686466498350661</v>
      </c>
      <c r="N4" s="47">
        <v>0.18083625237406051</v>
      </c>
      <c r="O4" s="47">
        <v>0.19962194564273555</v>
      </c>
      <c r="P4" s="48">
        <v>0.22274018538162649</v>
      </c>
      <c r="Q4" s="49">
        <v>0.24515401876068399</v>
      </c>
      <c r="R4" s="47">
        <v>0.2468330428371612</v>
      </c>
      <c r="S4" s="47">
        <v>0.26483033784693571</v>
      </c>
      <c r="T4" s="47">
        <v>0.2858381298330146</v>
      </c>
      <c r="U4" s="47">
        <v>0.30910440848495313</v>
      </c>
      <c r="V4" s="47">
        <v>0.3386471834764101</v>
      </c>
      <c r="W4" s="47">
        <v>0.33982390690435799</v>
      </c>
      <c r="X4" s="47">
        <v>0.36050632994220394</v>
      </c>
      <c r="Y4" s="47">
        <v>0.38470867972128608</v>
      </c>
      <c r="Z4" s="47">
        <v>0.40238064870823231</v>
      </c>
      <c r="AA4" s="47">
        <v>0.4160382760291475</v>
      </c>
      <c r="AB4" s="48">
        <v>0.42879256510942343</v>
      </c>
      <c r="AC4" s="50">
        <v>7.9999999999999655E-2</v>
      </c>
      <c r="AD4" s="51">
        <v>0.11999999999999966</v>
      </c>
      <c r="AE4" s="51">
        <v>0.15999999999999967</v>
      </c>
      <c r="AF4" s="51">
        <v>0.19999999999999968</v>
      </c>
      <c r="AG4" s="51">
        <v>0.23999999999999969</v>
      </c>
      <c r="AH4" s="51">
        <v>0.27999999999999969</v>
      </c>
      <c r="AI4" s="51">
        <v>0.31999999999999967</v>
      </c>
      <c r="AJ4" s="51">
        <v>0.35999999999999965</v>
      </c>
      <c r="AK4" s="51">
        <v>0.39999999999999963</v>
      </c>
      <c r="AL4" s="51">
        <v>0.43999999999999961</v>
      </c>
      <c r="AM4" s="51">
        <v>0.47999999999999959</v>
      </c>
      <c r="AN4" s="52">
        <v>0.51999999999999957</v>
      </c>
      <c r="AO4" s="50">
        <v>0.55999999999999961</v>
      </c>
      <c r="AP4" s="51">
        <v>0.59999999999999964</v>
      </c>
      <c r="AQ4" s="51">
        <v>0.63999999999999968</v>
      </c>
      <c r="AR4" s="51">
        <v>0.67999999999999972</v>
      </c>
      <c r="AS4" s="51">
        <v>0.71999999999999975</v>
      </c>
      <c r="AT4" s="51">
        <v>0.75999999999999979</v>
      </c>
      <c r="AU4" s="51">
        <v>0.79999999999999982</v>
      </c>
      <c r="AV4" s="51">
        <v>0.83999999999999986</v>
      </c>
      <c r="AW4" s="51">
        <v>0.87999999999999989</v>
      </c>
      <c r="AX4" s="51">
        <v>0.91999999999999993</v>
      </c>
      <c r="AY4" s="51">
        <v>0.96</v>
      </c>
      <c r="AZ4" s="52">
        <v>1</v>
      </c>
    </row>
    <row r="5" spans="2:52" x14ac:dyDescent="0.25">
      <c r="B5" s="33" t="s">
        <v>2</v>
      </c>
      <c r="C5" s="61">
        <v>43436</v>
      </c>
      <c r="D5" s="61">
        <v>44129.412322274882</v>
      </c>
      <c r="E5" s="46">
        <v>0</v>
      </c>
      <c r="F5" s="47">
        <v>9.6719172946797376E-3</v>
      </c>
      <c r="G5" s="47">
        <v>1.4831010168863026E-2</v>
      </c>
      <c r="H5" s="47">
        <v>4.2768074547795507E-2</v>
      </c>
      <c r="I5" s="47">
        <v>6.7545178321039304E-2</v>
      </c>
      <c r="J5" s="47">
        <v>8.6252880798391995E-2</v>
      </c>
      <c r="K5" s="47">
        <v>0.1096975197647361</v>
      </c>
      <c r="L5" s="47">
        <v>0.124004915993683</v>
      </c>
      <c r="M5" s="47">
        <v>0.12852861049740541</v>
      </c>
      <c r="N5" s="47">
        <v>0.15704760405152954</v>
      </c>
      <c r="O5" s="47">
        <v>0.15821929260534773</v>
      </c>
      <c r="P5" s="48">
        <v>0.16135785460961008</v>
      </c>
      <c r="Q5" s="49">
        <v>0.17631205491138183</v>
      </c>
      <c r="R5" s="47">
        <v>0.19092875256612868</v>
      </c>
      <c r="S5" s="47">
        <v>0.20758089379194133</v>
      </c>
      <c r="T5" s="47">
        <v>0.22614983999028093</v>
      </c>
      <c r="U5" s="47">
        <v>0.25285372567733355</v>
      </c>
      <c r="V5" s="47">
        <v>0.27576888913726594</v>
      </c>
      <c r="W5" s="47">
        <v>0.28869349352715895</v>
      </c>
      <c r="X5" s="47">
        <v>0.31578609699247623</v>
      </c>
      <c r="Y5" s="47">
        <v>0.31629832322098977</v>
      </c>
      <c r="Z5" s="47">
        <v>0.3401760013324483</v>
      </c>
      <c r="AA5" s="47">
        <v>0.35549297284999132</v>
      </c>
      <c r="AB5" s="48">
        <v>0.3616029878277412</v>
      </c>
      <c r="AC5" s="50">
        <v>0.30735686772502385</v>
      </c>
      <c r="AD5" s="51">
        <v>0.32353354497370934</v>
      </c>
      <c r="AE5" s="51">
        <v>0.34056162628811509</v>
      </c>
      <c r="AF5" s="51">
        <v>0.35848592240854221</v>
      </c>
      <c r="AG5" s="51">
        <v>0.37735360253530759</v>
      </c>
      <c r="AH5" s="51">
        <v>0.39721431845821853</v>
      </c>
      <c r="AI5" s="51">
        <v>0.41812033521917741</v>
      </c>
      <c r="AJ5" s="51">
        <v>0.4401266686517657</v>
      </c>
      <c r="AK5" s="51">
        <v>0.46329123015975338</v>
      </c>
      <c r="AL5" s="51">
        <v>0.48767497911552987</v>
      </c>
      <c r="AM5" s="51">
        <v>0.51334208327950515</v>
      </c>
      <c r="AN5" s="52">
        <v>0.54036008766263699</v>
      </c>
      <c r="AO5" s="50">
        <v>0.56880009227646</v>
      </c>
      <c r="AP5" s="51">
        <v>0.5987369392383789</v>
      </c>
      <c r="AQ5" s="51">
        <v>0.63024940972460941</v>
      </c>
      <c r="AR5" s="51">
        <v>0.66342043128906258</v>
      </c>
      <c r="AS5" s="51">
        <v>0.69833729609375006</v>
      </c>
      <c r="AT5" s="51">
        <v>0.73509189062500002</v>
      </c>
      <c r="AU5" s="51">
        <v>0.77378093749999999</v>
      </c>
      <c r="AV5" s="51">
        <v>0.81450624999999999</v>
      </c>
      <c r="AW5" s="51">
        <v>0.857375</v>
      </c>
      <c r="AX5" s="51">
        <v>0.90249999999999997</v>
      </c>
      <c r="AY5" s="51">
        <v>0.95</v>
      </c>
      <c r="AZ5" s="52">
        <v>1</v>
      </c>
    </row>
    <row r="6" spans="2:52" x14ac:dyDescent="0.25">
      <c r="B6" s="33" t="s">
        <v>3</v>
      </c>
      <c r="C6" s="61">
        <v>43284</v>
      </c>
      <c r="D6" s="61">
        <v>44110.214564369307</v>
      </c>
      <c r="E6" s="46">
        <v>0</v>
      </c>
      <c r="F6" s="47">
        <v>9.921957749030607E-3</v>
      </c>
      <c r="G6" s="47">
        <v>3.8499062626395172E-2</v>
      </c>
      <c r="H6" s="47">
        <v>5.655120292094569E-2</v>
      </c>
      <c r="I6" s="47">
        <v>8.1900121309144466E-2</v>
      </c>
      <c r="J6" s="47">
        <v>0.10590699262554545</v>
      </c>
      <c r="K6" s="47">
        <v>0.10970619578334537</v>
      </c>
      <c r="L6" s="47">
        <v>0.12108423819114211</v>
      </c>
      <c r="M6" s="47">
        <v>0.12848754227097256</v>
      </c>
      <c r="N6" s="47">
        <v>0.14633983157100738</v>
      </c>
      <c r="O6" s="47">
        <v>0.17086507546050325</v>
      </c>
      <c r="P6" s="48">
        <v>0.17735067611072</v>
      </c>
      <c r="Q6" s="49">
        <v>0.18393005401176471</v>
      </c>
      <c r="R6" s="47">
        <v>0.21359426028576906</v>
      </c>
      <c r="S6" s="47">
        <v>0.22358374723445962</v>
      </c>
      <c r="T6" s="47">
        <v>0.24449625981205672</v>
      </c>
      <c r="U6" s="47">
        <v>0.25737342682902159</v>
      </c>
      <c r="V6" s="47">
        <v>0.26217196549605792</v>
      </c>
      <c r="W6" s="47">
        <v>0.28605399554759448</v>
      </c>
      <c r="X6" s="47">
        <v>0.29292764051750786</v>
      </c>
      <c r="Y6" s="47">
        <v>0.3197940945376595</v>
      </c>
      <c r="Z6" s="47">
        <v>0.32451126196358032</v>
      </c>
      <c r="AA6" s="47">
        <v>0.32489398044382251</v>
      </c>
      <c r="AB6" s="48">
        <v>0.34974035446546076</v>
      </c>
      <c r="AC6" s="50">
        <v>3.3333333333333597E-2</v>
      </c>
      <c r="AD6" s="51">
        <v>7.5000000000000261E-2</v>
      </c>
      <c r="AE6" s="51">
        <v>0.11666666666666692</v>
      </c>
      <c r="AF6" s="51">
        <v>0.15833333333333358</v>
      </c>
      <c r="AG6" s="51">
        <v>0.20000000000000023</v>
      </c>
      <c r="AH6" s="51">
        <v>0.24166666666666689</v>
      </c>
      <c r="AI6" s="51">
        <v>0.28333333333333355</v>
      </c>
      <c r="AJ6" s="51">
        <v>0.32500000000000023</v>
      </c>
      <c r="AK6" s="51">
        <v>0.36666666666666692</v>
      </c>
      <c r="AL6" s="51">
        <v>0.4083333333333336</v>
      </c>
      <c r="AM6" s="51">
        <v>0.45000000000000029</v>
      </c>
      <c r="AN6" s="52">
        <v>0.49166666666666697</v>
      </c>
      <c r="AO6" s="50">
        <v>0.53333333333333366</v>
      </c>
      <c r="AP6" s="51">
        <v>0.57500000000000029</v>
      </c>
      <c r="AQ6" s="51">
        <v>0.61666666666666692</v>
      </c>
      <c r="AR6" s="51">
        <v>0.65833333333333355</v>
      </c>
      <c r="AS6" s="51">
        <v>0.70000000000000018</v>
      </c>
      <c r="AT6" s="51">
        <v>0.74166666666666681</v>
      </c>
      <c r="AU6" s="51">
        <v>0.78333333333333344</v>
      </c>
      <c r="AV6" s="51">
        <v>0.82500000000000007</v>
      </c>
      <c r="AW6" s="51">
        <v>0.8666666666666667</v>
      </c>
      <c r="AX6" s="51">
        <v>0.90833333333333333</v>
      </c>
      <c r="AY6" s="51">
        <v>0.95</v>
      </c>
      <c r="AZ6" s="52">
        <v>1</v>
      </c>
    </row>
    <row r="7" spans="2:52" x14ac:dyDescent="0.25">
      <c r="B7" s="33" t="s">
        <v>4</v>
      </c>
      <c r="C7" s="61">
        <v>43285</v>
      </c>
      <c r="D7" s="61">
        <v>44080.574589568707</v>
      </c>
      <c r="E7" s="46">
        <v>0</v>
      </c>
      <c r="F7" s="47">
        <v>1.0258920509344835E-2</v>
      </c>
      <c r="G7" s="47">
        <v>3.6655961056975737E-2</v>
      </c>
      <c r="H7" s="47">
        <v>3.7836312196959036E-2</v>
      </c>
      <c r="I7" s="47">
        <v>5.9287953849814161E-2</v>
      </c>
      <c r="J7" s="47">
        <v>8.2509361908607179E-2</v>
      </c>
      <c r="K7" s="47">
        <v>9.5729481014223308E-2</v>
      </c>
      <c r="L7" s="47">
        <v>0.10283808588851212</v>
      </c>
      <c r="M7" s="47">
        <v>0.11793849700437899</v>
      </c>
      <c r="N7" s="47">
        <v>0.14196180042525858</v>
      </c>
      <c r="O7" s="47">
        <v>0.1472431051565907</v>
      </c>
      <c r="P7" s="48">
        <v>0.15014864673851036</v>
      </c>
      <c r="Q7" s="49">
        <v>0.15539662617787903</v>
      </c>
      <c r="R7" s="47">
        <v>0.17995293153566541</v>
      </c>
      <c r="S7" s="47">
        <v>0.19813820226664577</v>
      </c>
      <c r="T7" s="47">
        <v>0.20370884406617426</v>
      </c>
      <c r="U7" s="47">
        <v>0.22920624021478858</v>
      </c>
      <c r="V7" s="47">
        <v>0.24575040354795311</v>
      </c>
      <c r="W7" s="47">
        <v>0.24643414073926109</v>
      </c>
      <c r="X7" s="47">
        <v>0.27421262992018791</v>
      </c>
      <c r="Y7" s="47">
        <v>0.3035431552904197</v>
      </c>
      <c r="Z7" s="47">
        <v>0.32387121340030939</v>
      </c>
      <c r="AA7" s="47">
        <v>0.33223853637444212</v>
      </c>
      <c r="AB7" s="48">
        <v>0.33528854688244164</v>
      </c>
      <c r="AC7" s="50">
        <v>1.6666666666666982E-2</v>
      </c>
      <c r="AD7" s="51">
        <v>5.8333333333333647E-2</v>
      </c>
      <c r="AE7" s="51">
        <v>0.10000000000000031</v>
      </c>
      <c r="AF7" s="51">
        <v>0.14166666666666697</v>
      </c>
      <c r="AG7" s="51">
        <v>0.18333333333333363</v>
      </c>
      <c r="AH7" s="51">
        <v>0.22500000000000028</v>
      </c>
      <c r="AI7" s="51">
        <v>0.26666666666666694</v>
      </c>
      <c r="AJ7" s="51">
        <v>0.30833333333333363</v>
      </c>
      <c r="AK7" s="51">
        <v>0.35000000000000031</v>
      </c>
      <c r="AL7" s="51">
        <v>0.391666666666667</v>
      </c>
      <c r="AM7" s="51">
        <v>0.43333333333333368</v>
      </c>
      <c r="AN7" s="52">
        <v>0.47500000000000037</v>
      </c>
      <c r="AO7" s="50">
        <v>0.51666666666666705</v>
      </c>
      <c r="AP7" s="51">
        <v>0.55833333333333368</v>
      </c>
      <c r="AQ7" s="51">
        <v>0.60000000000000031</v>
      </c>
      <c r="AR7" s="51">
        <v>0.64166666666666694</v>
      </c>
      <c r="AS7" s="51">
        <v>0.68333333333333357</v>
      </c>
      <c r="AT7" s="51">
        <v>0.7250000000000002</v>
      </c>
      <c r="AU7" s="51">
        <v>0.76666666666666683</v>
      </c>
      <c r="AV7" s="51">
        <v>0.80833333333333346</v>
      </c>
      <c r="AW7" s="51">
        <v>0.85000000000000009</v>
      </c>
      <c r="AX7" s="51">
        <v>0.89166666666666672</v>
      </c>
      <c r="AY7" s="51">
        <v>0.93333333333333335</v>
      </c>
      <c r="AZ7" s="52">
        <v>1</v>
      </c>
    </row>
    <row r="8" spans="2:52" x14ac:dyDescent="0.25">
      <c r="B8" s="33" t="s">
        <v>5</v>
      </c>
      <c r="C8" s="61">
        <v>43321</v>
      </c>
      <c r="D8" s="61">
        <v>44174.891809909001</v>
      </c>
      <c r="E8" s="46">
        <v>0</v>
      </c>
      <c r="F8" s="47">
        <v>1.6946780361116041E-2</v>
      </c>
      <c r="G8" s="47">
        <v>4.3181959464529664E-2</v>
      </c>
      <c r="H8" s="47">
        <v>5.2691174486211287E-2</v>
      </c>
      <c r="I8" s="47">
        <v>7.3854493279688002E-2</v>
      </c>
      <c r="J8" s="47">
        <v>8.4296405989728332E-2</v>
      </c>
      <c r="K8" s="47">
        <v>8.5585298345313324E-2</v>
      </c>
      <c r="L8" s="47">
        <v>9.8832161470023536E-2</v>
      </c>
      <c r="M8" s="47">
        <v>0.10220436795929452</v>
      </c>
      <c r="N8" s="47">
        <v>0.13003043941008574</v>
      </c>
      <c r="O8" s="47">
        <v>0.15503032768386454</v>
      </c>
      <c r="P8" s="48">
        <v>0.16021878601078832</v>
      </c>
      <c r="Q8" s="49">
        <v>0.1708480264600164</v>
      </c>
      <c r="R8" s="47">
        <v>0.19701749923134254</v>
      </c>
      <c r="S8" s="47">
        <v>0.22148743571464596</v>
      </c>
      <c r="T8" s="47">
        <v>0.22494583608754917</v>
      </c>
      <c r="U8" s="47">
        <v>0.23996496212080831</v>
      </c>
      <c r="V8" s="47">
        <v>0.26814522581930211</v>
      </c>
      <c r="W8" s="47">
        <v>0.27162077627635395</v>
      </c>
      <c r="X8" s="47">
        <v>0.27804530463781901</v>
      </c>
      <c r="Y8" s="47">
        <v>0.29802618748754317</v>
      </c>
      <c r="Z8" s="47">
        <v>0.29940776370472894</v>
      </c>
      <c r="AA8" s="47">
        <v>0.32327151726474845</v>
      </c>
      <c r="AB8" s="48">
        <v>0.33962212023056998</v>
      </c>
      <c r="AC8" s="50">
        <v>5.8333333333333647E-2</v>
      </c>
      <c r="AD8" s="51">
        <v>0.10000000000000031</v>
      </c>
      <c r="AE8" s="51">
        <v>0.14166666666666697</v>
      </c>
      <c r="AF8" s="51">
        <v>0.18333333333333363</v>
      </c>
      <c r="AG8" s="51">
        <v>0.22500000000000028</v>
      </c>
      <c r="AH8" s="51">
        <v>0.26666666666666694</v>
      </c>
      <c r="AI8" s="51">
        <v>0.30833333333333363</v>
      </c>
      <c r="AJ8" s="51">
        <v>0.35000000000000031</v>
      </c>
      <c r="AK8" s="51">
        <v>0.391666666666667</v>
      </c>
      <c r="AL8" s="51">
        <v>0.43333333333333368</v>
      </c>
      <c r="AM8" s="51">
        <v>0.47500000000000037</v>
      </c>
      <c r="AN8" s="52">
        <v>0.51666666666666705</v>
      </c>
      <c r="AO8" s="50">
        <v>0.55833333333333368</v>
      </c>
      <c r="AP8" s="51">
        <v>0.60000000000000031</v>
      </c>
      <c r="AQ8" s="51">
        <v>0.64166666666666694</v>
      </c>
      <c r="AR8" s="51">
        <v>0.68333333333333357</v>
      </c>
      <c r="AS8" s="51">
        <v>0.7250000000000002</v>
      </c>
      <c r="AT8" s="51">
        <v>0.76666666666666683</v>
      </c>
      <c r="AU8" s="51">
        <v>0.80833333333333346</v>
      </c>
      <c r="AV8" s="51">
        <v>0.85000000000000009</v>
      </c>
      <c r="AW8" s="51">
        <v>0.89166666666666672</v>
      </c>
      <c r="AX8" s="51">
        <v>0.93333333333333335</v>
      </c>
      <c r="AY8" s="51">
        <v>0.97499999999999998</v>
      </c>
      <c r="AZ8" s="52">
        <v>1</v>
      </c>
    </row>
    <row r="9" spans="2:52" x14ac:dyDescent="0.25">
      <c r="B9" s="33" t="s">
        <v>6</v>
      </c>
      <c r="C9" s="61">
        <v>43109</v>
      </c>
      <c r="D9" s="61">
        <v>44248.094339622643</v>
      </c>
      <c r="E9" s="46">
        <v>0</v>
      </c>
      <c r="F9" s="47">
        <v>2.9163316254474252E-2</v>
      </c>
      <c r="G9" s="47">
        <v>3.2342946096716611E-2</v>
      </c>
      <c r="H9" s="47">
        <v>3.8523440309896149E-2</v>
      </c>
      <c r="I9" s="47">
        <v>4.0021305009907547E-2</v>
      </c>
      <c r="J9" s="47">
        <v>6.6631026971680676E-2</v>
      </c>
      <c r="K9" s="47">
        <v>7.0689213636409037E-2</v>
      </c>
      <c r="L9" s="47">
        <v>0.10011754828968929</v>
      </c>
      <c r="M9" s="47">
        <v>0.10012047695405338</v>
      </c>
      <c r="N9" s="47">
        <v>0.11054359727686396</v>
      </c>
      <c r="O9" s="47">
        <v>0.14005116117708258</v>
      </c>
      <c r="P9" s="48">
        <v>0.1462939141870962</v>
      </c>
      <c r="Q9" s="49">
        <v>0.17382024633389664</v>
      </c>
      <c r="R9" s="47">
        <v>0.20369618316673474</v>
      </c>
      <c r="S9" s="47">
        <v>0.23145279347796913</v>
      </c>
      <c r="T9" s="47">
        <v>0.24180804159614197</v>
      </c>
      <c r="U9" s="47">
        <v>0.24356937643511381</v>
      </c>
      <c r="V9" s="47">
        <v>0.26515666746347405</v>
      </c>
      <c r="W9" s="47">
        <v>0.28522590509710605</v>
      </c>
      <c r="X9" s="47">
        <v>0.29002071836329352</v>
      </c>
      <c r="Y9" s="47">
        <v>0.30562188519067718</v>
      </c>
      <c r="Z9" s="47">
        <v>0.32680900178004546</v>
      </c>
      <c r="AA9" s="47">
        <v>0.33273637752572</v>
      </c>
      <c r="AB9" s="48">
        <v>0.34944617763652247</v>
      </c>
      <c r="AC9" s="50">
        <v>3.9855072463768453E-2</v>
      </c>
      <c r="AD9" s="51">
        <v>8.1521739130435117E-2</v>
      </c>
      <c r="AE9" s="51">
        <v>0.12318840579710177</v>
      </c>
      <c r="AF9" s="51">
        <v>0.16485507246376843</v>
      </c>
      <c r="AG9" s="51">
        <v>0.20652173913043509</v>
      </c>
      <c r="AH9" s="51">
        <v>0.24818840579710175</v>
      </c>
      <c r="AI9" s="51">
        <v>0.2898550724637684</v>
      </c>
      <c r="AJ9" s="51">
        <v>0.33152173913043509</v>
      </c>
      <c r="AK9" s="51">
        <v>0.37318840579710177</v>
      </c>
      <c r="AL9" s="51">
        <v>0.41485507246376846</v>
      </c>
      <c r="AM9" s="51">
        <v>0.45652173913043514</v>
      </c>
      <c r="AN9" s="52">
        <v>0.49818840579710183</v>
      </c>
      <c r="AO9" s="50">
        <v>0.53985507246376851</v>
      </c>
      <c r="AP9" s="51">
        <v>0.58152173913043514</v>
      </c>
      <c r="AQ9" s="51">
        <v>0.62318840579710177</v>
      </c>
      <c r="AR9" s="51">
        <v>0.6648550724637684</v>
      </c>
      <c r="AS9" s="51">
        <v>0.70652173913043503</v>
      </c>
      <c r="AT9" s="51">
        <v>0.74818840579710166</v>
      </c>
      <c r="AU9" s="51">
        <v>0.78985507246376829</v>
      </c>
      <c r="AV9" s="51">
        <v>0.83152173913043492</v>
      </c>
      <c r="AW9" s="51">
        <v>0.87318840579710155</v>
      </c>
      <c r="AX9" s="51">
        <v>0.91485507246376818</v>
      </c>
      <c r="AY9" s="51">
        <v>0.95652173913043481</v>
      </c>
      <c r="AZ9" s="52">
        <v>1</v>
      </c>
    </row>
    <row r="10" spans="2:52" x14ac:dyDescent="0.25">
      <c r="B10" s="33" t="s">
        <v>7</v>
      </c>
      <c r="C10" s="61">
        <v>43450</v>
      </c>
      <c r="D10" s="61">
        <v>44217.617737454748</v>
      </c>
      <c r="E10" s="46">
        <v>0</v>
      </c>
      <c r="F10" s="47">
        <v>1.710939733260991E-2</v>
      </c>
      <c r="G10" s="47">
        <v>2.8221521861432577E-2</v>
      </c>
      <c r="H10" s="47">
        <v>5.8340128013742748E-2</v>
      </c>
      <c r="I10" s="47">
        <v>6.5611297350624348E-2</v>
      </c>
      <c r="J10" s="47">
        <v>7.1794042228989233E-2</v>
      </c>
      <c r="K10" s="47">
        <v>7.2411408162540589E-2</v>
      </c>
      <c r="L10" s="47">
        <v>9.0750819166926122E-2</v>
      </c>
      <c r="M10" s="47">
        <v>0.11846397131557833</v>
      </c>
      <c r="N10" s="47">
        <v>0.14115693259498699</v>
      </c>
      <c r="O10" s="47">
        <v>0.14848650557512671</v>
      </c>
      <c r="P10" s="48">
        <v>0.15201278182716421</v>
      </c>
      <c r="Q10" s="49">
        <v>0.17280043893497146</v>
      </c>
      <c r="R10" s="47">
        <v>0.17728524702733006</v>
      </c>
      <c r="S10" s="47">
        <v>0.18271161427732896</v>
      </c>
      <c r="T10" s="47">
        <v>0.18463006452407943</v>
      </c>
      <c r="U10" s="47">
        <v>0.20659934620298515</v>
      </c>
      <c r="V10" s="47">
        <v>0.20822216205722655</v>
      </c>
      <c r="W10" s="47">
        <v>0.21744282368267148</v>
      </c>
      <c r="X10" s="47">
        <v>0.23276412852874426</v>
      </c>
      <c r="Y10" s="47">
        <v>0.24966680649870007</v>
      </c>
      <c r="Z10" s="47">
        <v>0.2524855680164948</v>
      </c>
      <c r="AA10" s="47">
        <v>0.28134004263574142</v>
      </c>
      <c r="AB10" s="48">
        <v>0.28286409928720596</v>
      </c>
      <c r="AC10" s="50">
        <v>7.8828828828829217E-2</v>
      </c>
      <c r="AD10" s="51">
        <v>0.12049549549549587</v>
      </c>
      <c r="AE10" s="51">
        <v>0.16216216216216253</v>
      </c>
      <c r="AF10" s="51">
        <v>0.20382882882882919</v>
      </c>
      <c r="AG10" s="51">
        <v>0.24549549549549585</v>
      </c>
      <c r="AH10" s="51">
        <v>0.2871621621621625</v>
      </c>
      <c r="AI10" s="51">
        <v>0.32882882882882919</v>
      </c>
      <c r="AJ10" s="51">
        <v>0.37049549549549587</v>
      </c>
      <c r="AK10" s="51">
        <v>0.41216216216216256</v>
      </c>
      <c r="AL10" s="51">
        <v>0.45382882882882924</v>
      </c>
      <c r="AM10" s="51">
        <v>0.49549549549549593</v>
      </c>
      <c r="AN10" s="52">
        <v>0.53716216216216262</v>
      </c>
      <c r="AO10" s="50">
        <v>0.57882882882882924</v>
      </c>
      <c r="AP10" s="51">
        <v>0.62049549549549587</v>
      </c>
      <c r="AQ10" s="51">
        <v>0.6621621621621625</v>
      </c>
      <c r="AR10" s="51">
        <v>0.70382882882882913</v>
      </c>
      <c r="AS10" s="51">
        <v>0.74549549549549576</v>
      </c>
      <c r="AT10" s="51">
        <v>0.78716216216216239</v>
      </c>
      <c r="AU10" s="51">
        <v>0.82882882882882902</v>
      </c>
      <c r="AV10" s="51">
        <v>0.87049549549549565</v>
      </c>
      <c r="AW10" s="51">
        <v>0.91216216216216228</v>
      </c>
      <c r="AX10" s="51">
        <v>0.95382882882882891</v>
      </c>
      <c r="AY10" s="51">
        <v>0.99549549549549554</v>
      </c>
      <c r="AZ10" s="52">
        <v>1</v>
      </c>
    </row>
    <row r="11" spans="2:52" x14ac:dyDescent="0.25">
      <c r="B11" s="33" t="s">
        <v>8</v>
      </c>
      <c r="C11" s="61">
        <v>43464</v>
      </c>
      <c r="D11" s="61">
        <v>44190.543970988212</v>
      </c>
      <c r="E11" s="46">
        <v>0</v>
      </c>
      <c r="F11" s="47">
        <v>2.6076865725077968E-2</v>
      </c>
      <c r="G11" s="47">
        <v>3.2998660602911227E-2</v>
      </c>
      <c r="H11" s="47">
        <v>6.0683996743583275E-2</v>
      </c>
      <c r="I11" s="47">
        <v>6.9263090508339467E-2</v>
      </c>
      <c r="J11" s="47">
        <v>9.900364338260087E-2</v>
      </c>
      <c r="K11" s="47">
        <v>0.12911542452503172</v>
      </c>
      <c r="L11" s="47">
        <v>0.14241187847326306</v>
      </c>
      <c r="M11" s="47">
        <v>0.17104687542777627</v>
      </c>
      <c r="N11" s="47">
        <v>0.18291932090933907</v>
      </c>
      <c r="O11" s="47">
        <v>0.20178905852451007</v>
      </c>
      <c r="P11" s="48">
        <v>0.21766070610625243</v>
      </c>
      <c r="Q11" s="49">
        <v>0.23315940278376307</v>
      </c>
      <c r="R11" s="47">
        <v>0.23391821291946363</v>
      </c>
      <c r="S11" s="47">
        <v>0.25621218897971659</v>
      </c>
      <c r="T11" s="47">
        <v>0.26591334648609577</v>
      </c>
      <c r="U11" s="47">
        <v>0.27886826975259149</v>
      </c>
      <c r="V11" s="47">
        <v>0.29236775835839934</v>
      </c>
      <c r="W11" s="47">
        <v>0.29613766287632848</v>
      </c>
      <c r="X11" s="47">
        <v>0.32250710131000632</v>
      </c>
      <c r="Y11" s="47">
        <v>0.32616931196491727</v>
      </c>
      <c r="Z11" s="47">
        <v>0.33878633847249168</v>
      </c>
      <c r="AA11" s="47">
        <v>0.36108250114454532</v>
      </c>
      <c r="AB11" s="48">
        <v>0.37115614921336409</v>
      </c>
      <c r="AC11" s="50">
        <v>3.5714285714285969E-2</v>
      </c>
      <c r="AD11" s="51">
        <v>7.7380952380952633E-2</v>
      </c>
      <c r="AE11" s="51">
        <v>0.11904761904761929</v>
      </c>
      <c r="AF11" s="51">
        <v>0.16071428571428595</v>
      </c>
      <c r="AG11" s="51">
        <v>0.20238095238095261</v>
      </c>
      <c r="AH11" s="51">
        <v>0.24404761904761926</v>
      </c>
      <c r="AI11" s="51">
        <v>0.28571428571428592</v>
      </c>
      <c r="AJ11" s="51">
        <v>0.32738095238095261</v>
      </c>
      <c r="AK11" s="51">
        <v>0.36904761904761929</v>
      </c>
      <c r="AL11" s="51">
        <v>0.41071428571428598</v>
      </c>
      <c r="AM11" s="51">
        <v>0.45238095238095266</v>
      </c>
      <c r="AN11" s="52">
        <v>0.49404761904761935</v>
      </c>
      <c r="AO11" s="50">
        <v>0.53571428571428603</v>
      </c>
      <c r="AP11" s="51">
        <v>0.57738095238095266</v>
      </c>
      <c r="AQ11" s="51">
        <v>0.61904761904761929</v>
      </c>
      <c r="AR11" s="51">
        <v>0.66071428571428592</v>
      </c>
      <c r="AS11" s="51">
        <v>0.70238095238095255</v>
      </c>
      <c r="AT11" s="51">
        <v>0.74404761904761918</v>
      </c>
      <c r="AU11" s="51">
        <v>0.78571428571428581</v>
      </c>
      <c r="AV11" s="51">
        <v>0.82738095238095244</v>
      </c>
      <c r="AW11" s="51">
        <v>0.86904761904761907</v>
      </c>
      <c r="AX11" s="51">
        <v>0.9107142857142857</v>
      </c>
      <c r="AY11" s="51">
        <v>0.95238095238095233</v>
      </c>
      <c r="AZ11" s="52">
        <v>1</v>
      </c>
    </row>
    <row r="12" spans="2:52" x14ac:dyDescent="0.25">
      <c r="B12" s="33" t="s">
        <v>9</v>
      </c>
      <c r="C12" s="61">
        <v>43352</v>
      </c>
      <c r="D12" s="61">
        <v>44154.881731174974</v>
      </c>
      <c r="E12" s="46">
        <v>0</v>
      </c>
      <c r="F12" s="47">
        <v>1.5486104822733862E-2</v>
      </c>
      <c r="G12" s="47">
        <v>2.4799066910029394E-2</v>
      </c>
      <c r="H12" s="47">
        <v>2.5304354454236826E-2</v>
      </c>
      <c r="I12" s="47">
        <v>2.7253256854776052E-2</v>
      </c>
      <c r="J12" s="47">
        <v>4.1005340602529805E-2</v>
      </c>
      <c r="K12" s="47">
        <v>5.4796158374973286E-2</v>
      </c>
      <c r="L12" s="47">
        <v>6.0296948811980784E-2</v>
      </c>
      <c r="M12" s="47">
        <v>9.002370025393093E-2</v>
      </c>
      <c r="N12" s="47">
        <v>0.10786280793731895</v>
      </c>
      <c r="O12" s="47">
        <v>0.13298276726686201</v>
      </c>
      <c r="P12" s="48">
        <v>0.16113016653940293</v>
      </c>
      <c r="Q12" s="49">
        <v>0.18823517738071485</v>
      </c>
      <c r="R12" s="47">
        <v>0.21245859387412239</v>
      </c>
      <c r="S12" s="47">
        <v>0.21272407845028138</v>
      </c>
      <c r="T12" s="47">
        <v>0.21342830464747561</v>
      </c>
      <c r="U12" s="47">
        <v>0.21445388549788141</v>
      </c>
      <c r="V12" s="47">
        <v>0.21512939848798102</v>
      </c>
      <c r="W12" s="47">
        <v>0.24348330734579482</v>
      </c>
      <c r="X12" s="47">
        <v>0.2716767942327275</v>
      </c>
      <c r="Y12" s="47">
        <v>0.29779629939782531</v>
      </c>
      <c r="Z12" s="47">
        <v>0.30305505755440826</v>
      </c>
      <c r="AA12" s="47">
        <v>0.32448663651763143</v>
      </c>
      <c r="AB12" s="48">
        <v>0.34772487419178433</v>
      </c>
      <c r="AC12" s="50">
        <v>3.3333333333333597E-2</v>
      </c>
      <c r="AD12" s="51">
        <v>7.5000000000000261E-2</v>
      </c>
      <c r="AE12" s="51">
        <v>0.11666666666666692</v>
      </c>
      <c r="AF12" s="51">
        <v>0.15833333333333358</v>
      </c>
      <c r="AG12" s="51">
        <v>0.20000000000000023</v>
      </c>
      <c r="AH12" s="51">
        <v>0.24166666666666689</v>
      </c>
      <c r="AI12" s="51">
        <v>0.28333333333333355</v>
      </c>
      <c r="AJ12" s="51">
        <v>0.32500000000000023</v>
      </c>
      <c r="AK12" s="51">
        <v>0.36666666666666692</v>
      </c>
      <c r="AL12" s="51">
        <v>0.4083333333333336</v>
      </c>
      <c r="AM12" s="51">
        <v>0.45000000000000029</v>
      </c>
      <c r="AN12" s="52">
        <v>0.49166666666666697</v>
      </c>
      <c r="AO12" s="50">
        <v>0.53333333333333366</v>
      </c>
      <c r="AP12" s="51">
        <v>0.57500000000000029</v>
      </c>
      <c r="AQ12" s="51">
        <v>0.61666666666666692</v>
      </c>
      <c r="AR12" s="51">
        <v>0.65833333333333355</v>
      </c>
      <c r="AS12" s="51">
        <v>0.70000000000000018</v>
      </c>
      <c r="AT12" s="51">
        <v>0.74166666666666681</v>
      </c>
      <c r="AU12" s="51">
        <v>0.78333333333333344</v>
      </c>
      <c r="AV12" s="51">
        <v>0.82500000000000007</v>
      </c>
      <c r="AW12" s="51">
        <v>0.8666666666666667</v>
      </c>
      <c r="AX12" s="51">
        <v>0.90833333333333333</v>
      </c>
      <c r="AY12" s="51">
        <v>0.95</v>
      </c>
      <c r="AZ12" s="52">
        <v>1</v>
      </c>
    </row>
    <row r="13" spans="2:52" x14ac:dyDescent="0.25">
      <c r="B13" s="33" t="s">
        <v>10</v>
      </c>
      <c r="C13" s="61">
        <v>43320</v>
      </c>
      <c r="D13" s="61">
        <v>44172.00826923077</v>
      </c>
      <c r="E13" s="46">
        <v>0</v>
      </c>
      <c r="F13" s="47">
        <v>2.7107921052900087E-2</v>
      </c>
      <c r="G13" s="47">
        <v>3.2874863120610699E-2</v>
      </c>
      <c r="H13" s="47">
        <v>4.7774266751607342E-2</v>
      </c>
      <c r="I13" s="47">
        <v>4.9410501941588469E-2</v>
      </c>
      <c r="J13" s="47">
        <v>5.6248214678479874E-2</v>
      </c>
      <c r="K13" s="47">
        <v>6.8628026230409755E-2</v>
      </c>
      <c r="L13" s="47">
        <v>8.1436586262976465E-2</v>
      </c>
      <c r="M13" s="47">
        <v>0.11155154758547971</v>
      </c>
      <c r="N13" s="47">
        <v>0.11256429917991193</v>
      </c>
      <c r="O13" s="47">
        <v>0.12609480752695565</v>
      </c>
      <c r="P13" s="48">
        <v>0.13065240796327798</v>
      </c>
      <c r="Q13" s="49">
        <v>0.1345297106398658</v>
      </c>
      <c r="R13" s="47">
        <v>0.13994787236622866</v>
      </c>
      <c r="S13" s="47">
        <v>0.16851872408957611</v>
      </c>
      <c r="T13" s="47">
        <v>0.18307100601949317</v>
      </c>
      <c r="U13" s="47">
        <v>0.18915607208282589</v>
      </c>
      <c r="V13" s="47">
        <v>0.20499954337264542</v>
      </c>
      <c r="W13" s="47">
        <v>0.22441382344474792</v>
      </c>
      <c r="X13" s="47">
        <v>0.24361642083816953</v>
      </c>
      <c r="Y13" s="47">
        <v>0.26632232278026574</v>
      </c>
      <c r="Z13" s="47">
        <v>0.29203004728071635</v>
      </c>
      <c r="AA13" s="47">
        <v>0.30253459212309508</v>
      </c>
      <c r="AB13" s="48">
        <v>0.33194184943838456</v>
      </c>
      <c r="AC13" s="50">
        <v>3.0701754385965278E-2</v>
      </c>
      <c r="AD13" s="51">
        <v>7.2368421052631943E-2</v>
      </c>
      <c r="AE13" s="51">
        <v>0.1140350877192986</v>
      </c>
      <c r="AF13" s="51">
        <v>0.15570175438596526</v>
      </c>
      <c r="AG13" s="51">
        <v>0.19736842105263191</v>
      </c>
      <c r="AH13" s="51">
        <v>0.23903508771929857</v>
      </c>
      <c r="AI13" s="51">
        <v>0.28070175438596523</v>
      </c>
      <c r="AJ13" s="51">
        <v>0.32236842105263191</v>
      </c>
      <c r="AK13" s="51">
        <v>0.3640350877192986</v>
      </c>
      <c r="AL13" s="51">
        <v>0.40570175438596529</v>
      </c>
      <c r="AM13" s="51">
        <v>0.44736842105263197</v>
      </c>
      <c r="AN13" s="52">
        <v>0.48903508771929866</v>
      </c>
      <c r="AO13" s="50">
        <v>0.53070175438596534</v>
      </c>
      <c r="AP13" s="51">
        <v>0.57236842105263197</v>
      </c>
      <c r="AQ13" s="51">
        <v>0.6140350877192986</v>
      </c>
      <c r="AR13" s="51">
        <v>0.65570175438596523</v>
      </c>
      <c r="AS13" s="51">
        <v>0.69736842105263186</v>
      </c>
      <c r="AT13" s="51">
        <v>0.73903508771929849</v>
      </c>
      <c r="AU13" s="51">
        <v>0.78070175438596512</v>
      </c>
      <c r="AV13" s="51">
        <v>0.82236842105263175</v>
      </c>
      <c r="AW13" s="51">
        <v>0.86403508771929838</v>
      </c>
      <c r="AX13" s="51">
        <v>0.90570175438596501</v>
      </c>
      <c r="AY13" s="51">
        <v>0.94736842105263164</v>
      </c>
      <c r="AZ13" s="52">
        <v>1</v>
      </c>
    </row>
    <row r="14" spans="2:52" x14ac:dyDescent="0.25">
      <c r="B14" s="33" t="s">
        <v>11</v>
      </c>
      <c r="C14" s="61">
        <v>43321</v>
      </c>
      <c r="D14" s="61">
        <v>44015.276527530645</v>
      </c>
      <c r="E14" s="46">
        <v>0</v>
      </c>
      <c r="F14" s="47">
        <v>2.7568369297277691E-2</v>
      </c>
      <c r="G14" s="47">
        <v>4.7827318240583949E-2</v>
      </c>
      <c r="H14" s="47">
        <v>7.2749572894302172E-2</v>
      </c>
      <c r="I14" s="47">
        <v>0.1003070538802612</v>
      </c>
      <c r="J14" s="47">
        <v>0.10812359736105109</v>
      </c>
      <c r="K14" s="47">
        <v>0.11058069560413729</v>
      </c>
      <c r="L14" s="47">
        <v>0.12508410997322353</v>
      </c>
      <c r="M14" s="47">
        <v>0.1305378831358886</v>
      </c>
      <c r="N14" s="47">
        <v>0.13394670534005235</v>
      </c>
      <c r="O14" s="47">
        <v>0.14012149458470746</v>
      </c>
      <c r="P14" s="48">
        <v>0.15797003152535088</v>
      </c>
      <c r="Q14" s="49">
        <v>0.18445767446200934</v>
      </c>
      <c r="R14" s="47">
        <v>0.20446888668789032</v>
      </c>
      <c r="S14" s="47">
        <v>0.22436784398049403</v>
      </c>
      <c r="T14" s="47">
        <v>0.24602879533604635</v>
      </c>
      <c r="U14" s="47">
        <v>0.25377690128494224</v>
      </c>
      <c r="V14" s="47">
        <v>0.26440548917799261</v>
      </c>
      <c r="W14" s="47">
        <v>0.29212886294460511</v>
      </c>
      <c r="X14" s="47">
        <v>0.30343205379854482</v>
      </c>
      <c r="Y14" s="47">
        <v>0.31386766281101552</v>
      </c>
      <c r="Z14" s="47">
        <v>0.31834797288252564</v>
      </c>
      <c r="AA14" s="47">
        <v>0.3447664644765851</v>
      </c>
      <c r="AB14" s="48">
        <v>0.34761636790359063</v>
      </c>
      <c r="AC14" s="50">
        <v>2.7777777777778061E-2</v>
      </c>
      <c r="AD14" s="51">
        <v>6.9444444444444725E-2</v>
      </c>
      <c r="AE14" s="51">
        <v>0.11111111111111138</v>
      </c>
      <c r="AF14" s="51">
        <v>0.15277777777777804</v>
      </c>
      <c r="AG14" s="51">
        <v>0.1944444444444447</v>
      </c>
      <c r="AH14" s="51">
        <v>0.23611111111111135</v>
      </c>
      <c r="AI14" s="51">
        <v>0.27777777777777801</v>
      </c>
      <c r="AJ14" s="51">
        <v>0.3194444444444447</v>
      </c>
      <c r="AK14" s="51">
        <v>0.36111111111111138</v>
      </c>
      <c r="AL14" s="51">
        <v>0.40277777777777807</v>
      </c>
      <c r="AM14" s="51">
        <v>0.44444444444444475</v>
      </c>
      <c r="AN14" s="52">
        <v>0.48611111111111144</v>
      </c>
      <c r="AO14" s="50">
        <v>0.52777777777777812</v>
      </c>
      <c r="AP14" s="51">
        <v>0.56944444444444475</v>
      </c>
      <c r="AQ14" s="51">
        <v>0.61111111111111138</v>
      </c>
      <c r="AR14" s="51">
        <v>0.65277777777777801</v>
      </c>
      <c r="AS14" s="51">
        <v>0.69444444444444464</v>
      </c>
      <c r="AT14" s="51">
        <v>0.73611111111111127</v>
      </c>
      <c r="AU14" s="51">
        <v>0.7777777777777779</v>
      </c>
      <c r="AV14" s="51">
        <v>0.81944444444444453</v>
      </c>
      <c r="AW14" s="51">
        <v>0.86111111111111116</v>
      </c>
      <c r="AX14" s="51">
        <v>0.90277777777777779</v>
      </c>
      <c r="AY14" s="51">
        <v>0.94444444444444442</v>
      </c>
      <c r="AZ14" s="52">
        <v>1</v>
      </c>
    </row>
    <row r="15" spans="2:52" x14ac:dyDescent="0.25">
      <c r="B15" s="33" t="s">
        <v>12</v>
      </c>
      <c r="C15" s="61">
        <v>43295</v>
      </c>
      <c r="D15" s="61">
        <v>44048.719699213427</v>
      </c>
      <c r="E15" s="46">
        <v>0</v>
      </c>
      <c r="F15" s="47">
        <v>2.7026485541469841E-2</v>
      </c>
      <c r="G15" s="47">
        <v>3.5455114858656739E-2</v>
      </c>
      <c r="H15" s="47">
        <v>3.8667645284528082E-2</v>
      </c>
      <c r="I15" s="47">
        <v>5.1866871440801293E-2</v>
      </c>
      <c r="J15" s="47">
        <v>6.6441910292592554E-2</v>
      </c>
      <c r="K15" s="47">
        <v>8.25929603016064E-2</v>
      </c>
      <c r="L15" s="47">
        <v>8.9161035677225095E-2</v>
      </c>
      <c r="M15" s="47">
        <v>0.11520140865676438</v>
      </c>
      <c r="N15" s="47">
        <v>0.13980127488735597</v>
      </c>
      <c r="O15" s="47">
        <v>0.15326336545652391</v>
      </c>
      <c r="P15" s="48">
        <v>0.16412933710603794</v>
      </c>
      <c r="Q15" s="49">
        <v>0.16678023712223031</v>
      </c>
      <c r="R15" s="47">
        <v>0.18733603794676798</v>
      </c>
      <c r="S15" s="47">
        <v>0.21089350217068947</v>
      </c>
      <c r="T15" s="47">
        <v>0.23933713745803711</v>
      </c>
      <c r="U15" s="47">
        <v>0.25335293129512382</v>
      </c>
      <c r="V15" s="47">
        <v>0.27672185565108681</v>
      </c>
      <c r="W15" s="47">
        <v>0.29065600715902545</v>
      </c>
      <c r="X15" s="47">
        <v>0.29941489935889926</v>
      </c>
      <c r="Y15" s="47">
        <v>0.30630935781788005</v>
      </c>
      <c r="Z15" s="47">
        <v>0.32692553625628473</v>
      </c>
      <c r="AA15" s="47">
        <v>0.33862450275355688</v>
      </c>
      <c r="AB15" s="48">
        <v>0.3502454734346781</v>
      </c>
      <c r="AC15" s="50">
        <v>2.4509803921568922E-2</v>
      </c>
      <c r="AD15" s="51">
        <v>6.6176470588235586E-2</v>
      </c>
      <c r="AE15" s="51">
        <v>0.10784313725490224</v>
      </c>
      <c r="AF15" s="51">
        <v>0.1495098039215689</v>
      </c>
      <c r="AG15" s="51">
        <v>0.19117647058823556</v>
      </c>
      <c r="AH15" s="51">
        <v>0.23284313725490222</v>
      </c>
      <c r="AI15" s="51">
        <v>0.27450980392156887</v>
      </c>
      <c r="AJ15" s="51">
        <v>0.31617647058823556</v>
      </c>
      <c r="AK15" s="51">
        <v>0.35784313725490224</v>
      </c>
      <c r="AL15" s="51">
        <v>0.39950980392156893</v>
      </c>
      <c r="AM15" s="51">
        <v>0.44117647058823561</v>
      </c>
      <c r="AN15" s="52">
        <v>0.4828431372549023</v>
      </c>
      <c r="AO15" s="50">
        <v>0.52450980392156898</v>
      </c>
      <c r="AP15" s="51">
        <v>0.56617647058823561</v>
      </c>
      <c r="AQ15" s="51">
        <v>0.60784313725490224</v>
      </c>
      <c r="AR15" s="51">
        <v>0.64950980392156887</v>
      </c>
      <c r="AS15" s="51">
        <v>0.6911764705882355</v>
      </c>
      <c r="AT15" s="51">
        <v>0.73284313725490213</v>
      </c>
      <c r="AU15" s="51">
        <v>0.77450980392156876</v>
      </c>
      <c r="AV15" s="51">
        <v>0.81617647058823539</v>
      </c>
      <c r="AW15" s="51">
        <v>0.85784313725490202</v>
      </c>
      <c r="AX15" s="51">
        <v>0.89950980392156865</v>
      </c>
      <c r="AY15" s="51">
        <v>0.94117647058823528</v>
      </c>
      <c r="AZ15" s="52">
        <v>1</v>
      </c>
    </row>
    <row r="16" spans="2:52" x14ac:dyDescent="0.25">
      <c r="B16" s="33" t="s">
        <v>13</v>
      </c>
      <c r="C16" s="61">
        <v>43433</v>
      </c>
      <c r="D16" s="61">
        <v>44059.082668315532</v>
      </c>
      <c r="E16" s="46">
        <v>0</v>
      </c>
      <c r="F16" s="47">
        <v>1.0770206324080612E-2</v>
      </c>
      <c r="G16" s="47">
        <v>1.6086302527114332E-2</v>
      </c>
      <c r="H16" s="47">
        <v>4.2135615330828866E-2</v>
      </c>
      <c r="I16" s="47">
        <v>4.5567054785402912E-2</v>
      </c>
      <c r="J16" s="47">
        <v>4.7989864072474513E-2</v>
      </c>
      <c r="K16" s="47">
        <v>5.4828785710561961E-2</v>
      </c>
      <c r="L16" s="47">
        <v>7.9306528469852228E-2</v>
      </c>
      <c r="M16" s="47">
        <v>0.10680372934830407</v>
      </c>
      <c r="N16" s="47">
        <v>0.10756787183849344</v>
      </c>
      <c r="O16" s="47">
        <v>0.12038566708786609</v>
      </c>
      <c r="P16" s="48">
        <v>0.12052045342212027</v>
      </c>
      <c r="Q16" s="49">
        <v>0.14017135693688984</v>
      </c>
      <c r="R16" s="47">
        <v>0.14438699325923091</v>
      </c>
      <c r="S16" s="47">
        <v>0.16303653477607258</v>
      </c>
      <c r="T16" s="47">
        <v>0.17451673006656168</v>
      </c>
      <c r="U16" s="47">
        <v>0.19647945634965769</v>
      </c>
      <c r="V16" s="47">
        <v>0.19988886024753605</v>
      </c>
      <c r="W16" s="47">
        <v>0.20949035289279602</v>
      </c>
      <c r="X16" s="47">
        <v>0.21210228841333315</v>
      </c>
      <c r="Y16" s="47">
        <v>0.22446355029281767</v>
      </c>
      <c r="Z16" s="47">
        <v>0.23809760395621518</v>
      </c>
      <c r="AA16" s="47">
        <v>0.24818174678985974</v>
      </c>
      <c r="AB16" s="48">
        <v>0.26757900728493972</v>
      </c>
      <c r="AC16" s="50">
        <v>4.6296296296296689E-2</v>
      </c>
      <c r="AD16" s="51">
        <v>8.7962962962963354E-2</v>
      </c>
      <c r="AE16" s="51">
        <v>0.12962962962963001</v>
      </c>
      <c r="AF16" s="51">
        <v>0.17129629629629667</v>
      </c>
      <c r="AG16" s="51">
        <v>0.21296296296296333</v>
      </c>
      <c r="AH16" s="51">
        <v>0.25462962962962998</v>
      </c>
      <c r="AI16" s="51">
        <v>0.29629629629629667</v>
      </c>
      <c r="AJ16" s="51">
        <v>0.33796296296296335</v>
      </c>
      <c r="AK16" s="51">
        <v>0.37962962962963004</v>
      </c>
      <c r="AL16" s="51">
        <v>0.42129629629629672</v>
      </c>
      <c r="AM16" s="51">
        <v>0.46296296296296341</v>
      </c>
      <c r="AN16" s="52">
        <v>0.50462962962963009</v>
      </c>
      <c r="AO16" s="50">
        <v>0.54629629629629672</v>
      </c>
      <c r="AP16" s="51">
        <v>0.58796296296296335</v>
      </c>
      <c r="AQ16" s="51">
        <v>0.62962962962962998</v>
      </c>
      <c r="AR16" s="51">
        <v>0.67129629629629661</v>
      </c>
      <c r="AS16" s="51">
        <v>0.71296296296296324</v>
      </c>
      <c r="AT16" s="51">
        <v>0.75462962962962987</v>
      </c>
      <c r="AU16" s="51">
        <v>0.7962962962962965</v>
      </c>
      <c r="AV16" s="51">
        <v>0.83796296296296313</v>
      </c>
      <c r="AW16" s="51">
        <v>0.87962962962962976</v>
      </c>
      <c r="AX16" s="51">
        <v>0.92129629629629639</v>
      </c>
      <c r="AY16" s="51">
        <v>0.96296296296296302</v>
      </c>
      <c r="AZ16" s="52">
        <v>1</v>
      </c>
    </row>
    <row r="17" spans="2:52" x14ac:dyDescent="0.25">
      <c r="B17" s="33" t="s">
        <v>14</v>
      </c>
      <c r="C17" s="61">
        <v>43435</v>
      </c>
      <c r="D17" s="61">
        <v>44048.142857142855</v>
      </c>
      <c r="E17" s="46">
        <v>0</v>
      </c>
      <c r="F17" s="47">
        <v>1.6383532036634983E-2</v>
      </c>
      <c r="G17" s="47">
        <v>2.269835286927389E-2</v>
      </c>
      <c r="H17" s="47">
        <v>4.3544093265926315E-2</v>
      </c>
      <c r="I17" s="47">
        <v>5.1058827521319516E-2</v>
      </c>
      <c r="J17" s="47">
        <v>7.8579702138374161E-2</v>
      </c>
      <c r="K17" s="47">
        <v>8.4832815898681802E-2</v>
      </c>
      <c r="L17" s="47">
        <v>0.10960494361180617</v>
      </c>
      <c r="M17" s="47">
        <v>0.11772080439418167</v>
      </c>
      <c r="N17" s="47">
        <v>0.13666366211002434</v>
      </c>
      <c r="O17" s="47">
        <v>0.13810455084212833</v>
      </c>
      <c r="P17" s="48">
        <v>0.14401290735462913</v>
      </c>
      <c r="Q17" s="49">
        <v>0.14961949041288827</v>
      </c>
      <c r="R17" s="47">
        <v>0.17299976225670843</v>
      </c>
      <c r="S17" s="47">
        <v>0.19062226461650372</v>
      </c>
      <c r="T17" s="47">
        <v>0.20396424649412392</v>
      </c>
      <c r="U17" s="47">
        <v>0.21518994670770061</v>
      </c>
      <c r="V17" s="47">
        <v>0.24132977935474706</v>
      </c>
      <c r="W17" s="47">
        <v>0.2638996390526176</v>
      </c>
      <c r="X17" s="47">
        <v>0.28225546815246821</v>
      </c>
      <c r="Y17" s="47">
        <v>0.30133421381743875</v>
      </c>
      <c r="Z17" s="47">
        <v>0.31991221261153924</v>
      </c>
      <c r="AA17" s="47">
        <v>0.3200573185875219</v>
      </c>
      <c r="AB17" s="48">
        <v>0.34987945180215541</v>
      </c>
      <c r="AC17" s="50">
        <v>4.8850574712644056E-2</v>
      </c>
      <c r="AD17" s="51">
        <v>9.051724137931072E-2</v>
      </c>
      <c r="AE17" s="51">
        <v>0.13218390804597738</v>
      </c>
      <c r="AF17" s="51">
        <v>0.17385057471264403</v>
      </c>
      <c r="AG17" s="51">
        <v>0.21551724137931069</v>
      </c>
      <c r="AH17" s="51">
        <v>0.25718390804597735</v>
      </c>
      <c r="AI17" s="51">
        <v>0.29885057471264403</v>
      </c>
      <c r="AJ17" s="51">
        <v>0.34051724137931072</v>
      </c>
      <c r="AK17" s="51">
        <v>0.38218390804597741</v>
      </c>
      <c r="AL17" s="51">
        <v>0.42385057471264409</v>
      </c>
      <c r="AM17" s="51">
        <v>0.46551724137931078</v>
      </c>
      <c r="AN17" s="52">
        <v>0.50718390804597746</v>
      </c>
      <c r="AO17" s="50">
        <v>0.54885057471264409</v>
      </c>
      <c r="AP17" s="51">
        <v>0.59051724137931072</v>
      </c>
      <c r="AQ17" s="51">
        <v>0.63218390804597735</v>
      </c>
      <c r="AR17" s="51">
        <v>0.67385057471264398</v>
      </c>
      <c r="AS17" s="51">
        <v>0.71551724137931061</v>
      </c>
      <c r="AT17" s="51">
        <v>0.75718390804597724</v>
      </c>
      <c r="AU17" s="51">
        <v>0.79885057471264387</v>
      </c>
      <c r="AV17" s="51">
        <v>0.8405172413793105</v>
      </c>
      <c r="AW17" s="51">
        <v>0.88218390804597713</v>
      </c>
      <c r="AX17" s="51">
        <v>0.92385057471264376</v>
      </c>
      <c r="AY17" s="51">
        <v>0.96551724137931039</v>
      </c>
      <c r="AZ17" s="52">
        <v>1</v>
      </c>
    </row>
    <row r="18" spans="2:52" x14ac:dyDescent="0.25">
      <c r="B18" s="33" t="s">
        <v>15</v>
      </c>
      <c r="C18" s="61">
        <v>43444</v>
      </c>
      <c r="D18" s="61">
        <v>43988.204968944097</v>
      </c>
      <c r="E18" s="46">
        <v>0</v>
      </c>
      <c r="F18" s="47">
        <v>1.8831864231924175E-2</v>
      </c>
      <c r="G18" s="47">
        <v>2.7325961271785097E-2</v>
      </c>
      <c r="H18" s="47">
        <v>4.0357907687876962E-2</v>
      </c>
      <c r="I18" s="47">
        <v>4.7541368464337347E-2</v>
      </c>
      <c r="J18" s="47">
        <v>7.2718716250801188E-2</v>
      </c>
      <c r="K18" s="47">
        <v>9.0439434571843558E-2</v>
      </c>
      <c r="L18" s="47">
        <v>0.10161325688247486</v>
      </c>
      <c r="M18" s="47">
        <v>0.13160886724653878</v>
      </c>
      <c r="N18" s="47">
        <v>0.14590225051920389</v>
      </c>
      <c r="O18" s="47">
        <v>0.14903698884109912</v>
      </c>
      <c r="P18" s="48">
        <v>0.16225571872600136</v>
      </c>
      <c r="Q18" s="49">
        <v>0.19086884142468455</v>
      </c>
      <c r="R18" s="47">
        <v>0.21878069104912118</v>
      </c>
      <c r="S18" s="47">
        <v>0.23678614712331225</v>
      </c>
      <c r="T18" s="47">
        <v>0.24930157386722618</v>
      </c>
      <c r="U18" s="47">
        <v>0.26659289316319645</v>
      </c>
      <c r="V18" s="47">
        <v>0.2886471605175695</v>
      </c>
      <c r="W18" s="47">
        <v>0.3070837999833903</v>
      </c>
      <c r="X18" s="47">
        <v>0.31525296915719098</v>
      </c>
      <c r="Y18" s="47">
        <v>0.31681251929154203</v>
      </c>
      <c r="Z18" s="47">
        <v>0.34429432772560176</v>
      </c>
      <c r="AA18" s="47">
        <v>0.36931931861663819</v>
      </c>
      <c r="AB18" s="48">
        <v>0.39782202929828858</v>
      </c>
      <c r="AC18" s="50">
        <v>1.3719689059055892E-2</v>
      </c>
      <c r="AD18" s="51">
        <v>5.5386355725722557E-2</v>
      </c>
      <c r="AE18" s="51">
        <v>9.7053022392389221E-2</v>
      </c>
      <c r="AF18" s="51">
        <v>0.13871968905905588</v>
      </c>
      <c r="AG18" s="51">
        <v>0.18038635572572254</v>
      </c>
      <c r="AH18" s="51">
        <v>0.22205302239238919</v>
      </c>
      <c r="AI18" s="51">
        <v>0.26371968905905585</v>
      </c>
      <c r="AJ18" s="51">
        <v>0.30538635572572254</v>
      </c>
      <c r="AK18" s="51">
        <v>0.34705302239238922</v>
      </c>
      <c r="AL18" s="51">
        <v>0.38871968905905591</v>
      </c>
      <c r="AM18" s="51">
        <v>0.43038635572572259</v>
      </c>
      <c r="AN18" s="52">
        <v>0.47205302239238928</v>
      </c>
      <c r="AO18" s="50">
        <v>0.51371968905905596</v>
      </c>
      <c r="AP18" s="51">
        <v>0.55538635572572259</v>
      </c>
      <c r="AQ18" s="51">
        <v>0.59705302239238922</v>
      </c>
      <c r="AR18" s="51">
        <v>0.63871968905905585</v>
      </c>
      <c r="AS18" s="51">
        <v>0.68038635572572248</v>
      </c>
      <c r="AT18" s="51">
        <v>0.72205302239238911</v>
      </c>
      <c r="AU18" s="51">
        <v>0.76371968905905574</v>
      </c>
      <c r="AV18" s="51">
        <v>0.80538635572572237</v>
      </c>
      <c r="AW18" s="51">
        <v>0.847053022392389</v>
      </c>
      <c r="AX18" s="51">
        <v>0.88871968905905563</v>
      </c>
      <c r="AY18" s="51">
        <v>0.93038635572572226</v>
      </c>
      <c r="AZ18" s="52">
        <v>1</v>
      </c>
    </row>
    <row r="19" spans="2:52" x14ac:dyDescent="0.25">
      <c r="B19" s="33" t="s">
        <v>16</v>
      </c>
      <c r="C19" s="61">
        <v>43431</v>
      </c>
      <c r="D19" s="61">
        <v>44014.179360046284</v>
      </c>
      <c r="E19" s="46">
        <v>0</v>
      </c>
      <c r="F19" s="47">
        <v>2.9924409923875982E-3</v>
      </c>
      <c r="G19" s="47">
        <v>1.5682204111095336E-2</v>
      </c>
      <c r="H19" s="47">
        <v>4.4319986331714967E-2</v>
      </c>
      <c r="I19" s="47">
        <v>7.3539385221695508E-2</v>
      </c>
      <c r="J19" s="47">
        <v>9.5418950858730506E-2</v>
      </c>
      <c r="K19" s="47">
        <v>0.12204993134462415</v>
      </c>
      <c r="L19" s="47">
        <v>0.13497120146700214</v>
      </c>
      <c r="M19" s="47">
        <v>0.13586037718407948</v>
      </c>
      <c r="N19" s="47">
        <v>0.1398068704299909</v>
      </c>
      <c r="O19" s="47">
        <v>0.16346913909223298</v>
      </c>
      <c r="P19" s="48">
        <v>0.1838636698825781</v>
      </c>
      <c r="Q19" s="49">
        <v>0.18508329543442165</v>
      </c>
      <c r="R19" s="47">
        <v>0.19013298750405819</v>
      </c>
      <c r="S19" s="47">
        <v>0.21450329790978312</v>
      </c>
      <c r="T19" s="47">
        <v>0.23335060540345429</v>
      </c>
      <c r="U19" s="47">
        <v>0.25663687060272911</v>
      </c>
      <c r="V19" s="47">
        <v>0.28598012160227915</v>
      </c>
      <c r="W19" s="47">
        <v>0.3131716430873962</v>
      </c>
      <c r="X19" s="47">
        <v>0.31322007319896483</v>
      </c>
      <c r="Y19" s="47">
        <v>0.34101756509856179</v>
      </c>
      <c r="Z19" s="47">
        <v>0.34403841563174242</v>
      </c>
      <c r="AA19" s="47">
        <v>0.36404615676997781</v>
      </c>
      <c r="AB19" s="48">
        <v>0.36763414255177174</v>
      </c>
      <c r="AC19" s="50">
        <v>3.6239050579259961E-2</v>
      </c>
      <c r="AD19" s="51">
        <v>7.7905717245926626E-2</v>
      </c>
      <c r="AE19" s="51">
        <v>0.11957238391259328</v>
      </c>
      <c r="AF19" s="51">
        <v>0.16123905057925994</v>
      </c>
      <c r="AG19" s="51">
        <v>0.2029057172459266</v>
      </c>
      <c r="AH19" s="51">
        <v>0.24457238391259326</v>
      </c>
      <c r="AI19" s="51">
        <v>0.28623905057925991</v>
      </c>
      <c r="AJ19" s="51">
        <v>0.3279057172459266</v>
      </c>
      <c r="AK19" s="51">
        <v>0.36957238391259328</v>
      </c>
      <c r="AL19" s="51">
        <v>0.41123905057925997</v>
      </c>
      <c r="AM19" s="51">
        <v>0.45290571724592665</v>
      </c>
      <c r="AN19" s="52">
        <v>0.49457238391259334</v>
      </c>
      <c r="AO19" s="50">
        <v>0.53623905057926002</v>
      </c>
      <c r="AP19" s="51">
        <v>0.57790571724592665</v>
      </c>
      <c r="AQ19" s="51">
        <v>0.61957238391259328</v>
      </c>
      <c r="AR19" s="51">
        <v>0.66123905057925991</v>
      </c>
      <c r="AS19" s="51">
        <v>0.70290571724592654</v>
      </c>
      <c r="AT19" s="51">
        <v>0.74457238391259317</v>
      </c>
      <c r="AU19" s="51">
        <v>0.7862390505792598</v>
      </c>
      <c r="AV19" s="51">
        <v>0.82790571724592643</v>
      </c>
      <c r="AW19" s="51">
        <v>0.86957238391259306</v>
      </c>
      <c r="AX19" s="51">
        <v>0.91123905057925969</v>
      </c>
      <c r="AY19" s="51">
        <v>0.95290571724592632</v>
      </c>
      <c r="AZ19" s="52">
        <v>1</v>
      </c>
    </row>
    <row r="20" spans="2:52" x14ac:dyDescent="0.25">
      <c r="B20" s="33" t="s">
        <v>17</v>
      </c>
      <c r="C20" s="61">
        <v>43397</v>
      </c>
      <c r="D20" s="61">
        <v>44089.350136909357</v>
      </c>
      <c r="E20" s="46">
        <v>0</v>
      </c>
      <c r="F20" s="47">
        <v>2.6719701144626972E-2</v>
      </c>
      <c r="G20" s="47">
        <v>3.3343165382903814E-2</v>
      </c>
      <c r="H20" s="47">
        <v>4.2778340426298217E-2</v>
      </c>
      <c r="I20" s="47">
        <v>5.5986493702997117E-2</v>
      </c>
      <c r="J20" s="47">
        <v>6.2015892815619769E-2</v>
      </c>
      <c r="K20" s="47">
        <v>6.607149413563515E-2</v>
      </c>
      <c r="L20" s="47">
        <v>8.455326697523953E-2</v>
      </c>
      <c r="M20" s="47">
        <v>0.10076585469365947</v>
      </c>
      <c r="N20" s="47">
        <v>0.12097404098083375</v>
      </c>
      <c r="O20" s="47">
        <v>0.12812791911645652</v>
      </c>
      <c r="P20" s="48">
        <v>0.13032183290351623</v>
      </c>
      <c r="Q20" s="49">
        <v>0.13408347815982968</v>
      </c>
      <c r="R20" s="47">
        <v>0.15210910055848753</v>
      </c>
      <c r="S20" s="47">
        <v>0.15724506697601612</v>
      </c>
      <c r="T20" s="47">
        <v>0.18476532397541515</v>
      </c>
      <c r="U20" s="47">
        <v>0.20581842344745527</v>
      </c>
      <c r="V20" s="47">
        <v>0.2080280846630719</v>
      </c>
      <c r="W20" s="47">
        <v>0.21085846297559585</v>
      </c>
      <c r="X20" s="47">
        <v>0.22503533862630348</v>
      </c>
      <c r="Y20" s="47">
        <v>0.23247266110677842</v>
      </c>
      <c r="Z20" s="47">
        <v>0.23673653002844336</v>
      </c>
      <c r="AA20" s="47">
        <v>0.26456872194238912</v>
      </c>
      <c r="AB20" s="48">
        <v>0.26594809123135615</v>
      </c>
      <c r="AC20" s="50">
        <v>3.5371702637889961E-2</v>
      </c>
      <c r="AD20" s="51">
        <v>7.7038369304556625E-2</v>
      </c>
      <c r="AE20" s="51">
        <v>0.11870503597122328</v>
      </c>
      <c r="AF20" s="51">
        <v>0.16037170263788994</v>
      </c>
      <c r="AG20" s="51">
        <v>0.2020383693045566</v>
      </c>
      <c r="AH20" s="51">
        <v>0.24370503597122326</v>
      </c>
      <c r="AI20" s="51">
        <v>0.28537170263788991</v>
      </c>
      <c r="AJ20" s="51">
        <v>0.3270383693045566</v>
      </c>
      <c r="AK20" s="51">
        <v>0.36870503597122328</v>
      </c>
      <c r="AL20" s="51">
        <v>0.41037170263788997</v>
      </c>
      <c r="AM20" s="51">
        <v>0.45203836930455665</v>
      </c>
      <c r="AN20" s="52">
        <v>0.49370503597122334</v>
      </c>
      <c r="AO20" s="50">
        <v>0.53537170263789002</v>
      </c>
      <c r="AP20" s="51">
        <v>0.57703836930455665</v>
      </c>
      <c r="AQ20" s="51">
        <v>0.61870503597122328</v>
      </c>
      <c r="AR20" s="51">
        <v>0.66037170263788991</v>
      </c>
      <c r="AS20" s="51">
        <v>0.70203836930455654</v>
      </c>
      <c r="AT20" s="51">
        <v>0.74370503597122317</v>
      </c>
      <c r="AU20" s="51">
        <v>0.7853717026378898</v>
      </c>
      <c r="AV20" s="51">
        <v>0.82703836930455643</v>
      </c>
      <c r="AW20" s="51">
        <v>0.86870503597122306</v>
      </c>
      <c r="AX20" s="51">
        <v>0.91037170263788969</v>
      </c>
      <c r="AY20" s="51">
        <v>0.95203836930455632</v>
      </c>
      <c r="AZ20" s="52">
        <v>1</v>
      </c>
    </row>
    <row r="21" spans="2:52" x14ac:dyDescent="0.25">
      <c r="B21" s="33" t="s">
        <v>18</v>
      </c>
      <c r="C21" s="61">
        <v>43445</v>
      </c>
      <c r="D21" s="61">
        <v>44163.102040816324</v>
      </c>
      <c r="E21" s="46">
        <v>0</v>
      </c>
      <c r="F21" s="47">
        <v>6.1602229547177119E-3</v>
      </c>
      <c r="G21" s="47">
        <v>6.568542029187158E-3</v>
      </c>
      <c r="H21" s="47">
        <v>1.6141688341384547E-2</v>
      </c>
      <c r="I21" s="47">
        <v>2.7794414355412189E-2</v>
      </c>
      <c r="J21" s="47">
        <v>5.5322801067010839E-2</v>
      </c>
      <c r="K21" s="47">
        <v>6.6222543534784503E-2</v>
      </c>
      <c r="L21" s="47">
        <v>7.6040664409744801E-2</v>
      </c>
      <c r="M21" s="47">
        <v>0.10325485007049381</v>
      </c>
      <c r="N21" s="47">
        <v>0.11274023217040036</v>
      </c>
      <c r="O21" s="47">
        <v>0.13240385319450393</v>
      </c>
      <c r="P21" s="48">
        <v>0.1356127423070331</v>
      </c>
      <c r="Q21" s="49">
        <v>0.15153295574757214</v>
      </c>
      <c r="R21" s="47">
        <v>0.18180450280882943</v>
      </c>
      <c r="S21" s="47">
        <v>0.21161780963827914</v>
      </c>
      <c r="T21" s="47">
        <v>0.22124914434757337</v>
      </c>
      <c r="U21" s="47">
        <v>0.25099157419729218</v>
      </c>
      <c r="V21" s="47">
        <v>0.26617238758324147</v>
      </c>
      <c r="W21" s="47">
        <v>0.29246141981894458</v>
      </c>
      <c r="X21" s="47">
        <v>0.31545675007023383</v>
      </c>
      <c r="Y21" s="47">
        <v>0.32646269220982604</v>
      </c>
      <c r="Z21" s="47">
        <v>0.33422914763858314</v>
      </c>
      <c r="AA21" s="47">
        <v>0.34575076953057349</v>
      </c>
      <c r="AB21" s="48">
        <v>0.34585411829592</v>
      </c>
      <c r="AC21" s="50">
        <v>5.0000000000000343E-2</v>
      </c>
      <c r="AD21" s="51">
        <v>9.1666666666667007E-2</v>
      </c>
      <c r="AE21" s="51">
        <v>0.13333333333333366</v>
      </c>
      <c r="AF21" s="51">
        <v>0.17500000000000032</v>
      </c>
      <c r="AG21" s="51">
        <v>0.21666666666666698</v>
      </c>
      <c r="AH21" s="51">
        <v>0.25833333333333364</v>
      </c>
      <c r="AI21" s="51">
        <v>0.30000000000000032</v>
      </c>
      <c r="AJ21" s="51">
        <v>0.34166666666666701</v>
      </c>
      <c r="AK21" s="51">
        <v>0.38333333333333369</v>
      </c>
      <c r="AL21" s="51">
        <v>0.42500000000000038</v>
      </c>
      <c r="AM21" s="51">
        <v>0.46666666666666706</v>
      </c>
      <c r="AN21" s="52">
        <v>0.50833333333333375</v>
      </c>
      <c r="AO21" s="50">
        <v>0.55000000000000038</v>
      </c>
      <c r="AP21" s="51">
        <v>0.59166666666666701</v>
      </c>
      <c r="AQ21" s="51">
        <v>0.63333333333333364</v>
      </c>
      <c r="AR21" s="51">
        <v>0.67500000000000027</v>
      </c>
      <c r="AS21" s="51">
        <v>0.7166666666666669</v>
      </c>
      <c r="AT21" s="51">
        <v>0.75833333333333353</v>
      </c>
      <c r="AU21" s="51">
        <v>0.80000000000000016</v>
      </c>
      <c r="AV21" s="51">
        <v>0.84166666666666679</v>
      </c>
      <c r="AW21" s="51">
        <v>0.88333333333333341</v>
      </c>
      <c r="AX21" s="51">
        <v>0.92500000000000004</v>
      </c>
      <c r="AY21" s="51">
        <v>0.96666666666666667</v>
      </c>
      <c r="AZ21" s="52">
        <v>1</v>
      </c>
    </row>
    <row r="22" spans="2:52" x14ac:dyDescent="0.25">
      <c r="B22" s="33" t="s">
        <v>19</v>
      </c>
      <c r="C22" s="61">
        <v>43354</v>
      </c>
      <c r="D22" s="61">
        <v>44047.908529096079</v>
      </c>
      <c r="E22" s="46">
        <v>0</v>
      </c>
      <c r="F22" s="47">
        <v>2.8362492005152586E-2</v>
      </c>
      <c r="G22" s="47">
        <v>5.6983867264120108E-2</v>
      </c>
      <c r="H22" s="47">
        <v>8.32080471726582E-2</v>
      </c>
      <c r="I22" s="47">
        <v>9.3961157808047063E-2</v>
      </c>
      <c r="J22" s="47">
        <v>0.11196324186807353</v>
      </c>
      <c r="K22" s="47">
        <v>0.14096201499663011</v>
      </c>
      <c r="L22" s="47">
        <v>0.14420702167287494</v>
      </c>
      <c r="M22" s="47">
        <v>0.15195373797349918</v>
      </c>
      <c r="N22" s="47">
        <v>0.15553882977985103</v>
      </c>
      <c r="O22" s="47">
        <v>0.18502951776620957</v>
      </c>
      <c r="P22" s="48">
        <v>0.2019451904447937</v>
      </c>
      <c r="Q22" s="49">
        <v>0.22109874264081683</v>
      </c>
      <c r="R22" s="47">
        <v>0.24685141778843045</v>
      </c>
      <c r="S22" s="47">
        <v>0.25569632239537887</v>
      </c>
      <c r="T22" s="47">
        <v>0.27665671368806904</v>
      </c>
      <c r="U22" s="47">
        <v>0.30416946265263201</v>
      </c>
      <c r="V22" s="47">
        <v>0.31594481001080316</v>
      </c>
      <c r="W22" s="47">
        <v>0.31843699622567645</v>
      </c>
      <c r="X22" s="47">
        <v>0.31949093710684962</v>
      </c>
      <c r="Y22" s="47">
        <v>0.34434257526711515</v>
      </c>
      <c r="Z22" s="47">
        <v>0.36089039426003761</v>
      </c>
      <c r="AA22" s="47">
        <v>0.3637497494064339</v>
      </c>
      <c r="AB22" s="48">
        <v>0.38437947131895961</v>
      </c>
      <c r="AC22" s="50">
        <v>3.2828282828283144E-2</v>
      </c>
      <c r="AD22" s="51">
        <v>7.4494949494949808E-2</v>
      </c>
      <c r="AE22" s="51">
        <v>0.11616161616161647</v>
      </c>
      <c r="AF22" s="51">
        <v>0.15782828282828312</v>
      </c>
      <c r="AG22" s="51">
        <v>0.19949494949494978</v>
      </c>
      <c r="AH22" s="51">
        <v>0.24116161616161644</v>
      </c>
      <c r="AI22" s="51">
        <v>0.2828282828282831</v>
      </c>
      <c r="AJ22" s="51">
        <v>0.32449494949494978</v>
      </c>
      <c r="AK22" s="51">
        <v>0.36616161616161647</v>
      </c>
      <c r="AL22" s="51">
        <v>0.40782828282828315</v>
      </c>
      <c r="AM22" s="51">
        <v>0.44949494949494984</v>
      </c>
      <c r="AN22" s="52">
        <v>0.49116161616161652</v>
      </c>
      <c r="AO22" s="50">
        <v>0.53282828282828321</v>
      </c>
      <c r="AP22" s="51">
        <v>0.57449494949494984</v>
      </c>
      <c r="AQ22" s="51">
        <v>0.61616161616161647</v>
      </c>
      <c r="AR22" s="51">
        <v>0.6578282828282831</v>
      </c>
      <c r="AS22" s="51">
        <v>0.69949494949494972</v>
      </c>
      <c r="AT22" s="51">
        <v>0.74116161616161635</v>
      </c>
      <c r="AU22" s="51">
        <v>0.78282828282828298</v>
      </c>
      <c r="AV22" s="51">
        <v>0.82449494949494961</v>
      </c>
      <c r="AW22" s="51">
        <v>0.86616161616161624</v>
      </c>
      <c r="AX22" s="51">
        <v>0.90782828282828287</v>
      </c>
      <c r="AY22" s="51">
        <v>0.9494949494949495</v>
      </c>
      <c r="AZ22" s="52">
        <v>1</v>
      </c>
    </row>
    <row r="23" spans="2:52" x14ac:dyDescent="0.25">
      <c r="B23" s="33" t="s">
        <v>20</v>
      </c>
      <c r="C23" s="61">
        <v>43380</v>
      </c>
      <c r="D23" s="61">
        <v>43951.225609756097</v>
      </c>
      <c r="E23" s="46">
        <v>0</v>
      </c>
      <c r="F23" s="47">
        <v>2.2330358759043711E-2</v>
      </c>
      <c r="G23" s="47">
        <v>2.9222738230644765E-2</v>
      </c>
      <c r="H23" s="47">
        <v>4.3254139449427409E-2</v>
      </c>
      <c r="I23" s="47">
        <v>6.3806995790560206E-2</v>
      </c>
      <c r="J23" s="47">
        <v>9.1036088358654538E-2</v>
      </c>
      <c r="K23" s="47">
        <v>0.11726724633044752</v>
      </c>
      <c r="L23" s="47">
        <v>0.12646292660746403</v>
      </c>
      <c r="M23" s="47">
        <v>0.13311844250439037</v>
      </c>
      <c r="N23" s="47">
        <v>0.13355363878402471</v>
      </c>
      <c r="O23" s="47">
        <v>0.13424656767832421</v>
      </c>
      <c r="P23" s="48">
        <v>0.13493327089645107</v>
      </c>
      <c r="Q23" s="49">
        <v>0.1548880637206792</v>
      </c>
      <c r="R23" s="47">
        <v>0.17520244665028334</v>
      </c>
      <c r="S23" s="47">
        <v>0.19440366657645297</v>
      </c>
      <c r="T23" s="47">
        <v>0.21259196199850511</v>
      </c>
      <c r="U23" s="47">
        <v>0.23490893622158759</v>
      </c>
      <c r="V23" s="47">
        <v>0.26003999057783989</v>
      </c>
      <c r="W23" s="47">
        <v>0.28029760852496577</v>
      </c>
      <c r="X23" s="47">
        <v>0.30098499125409955</v>
      </c>
      <c r="Y23" s="47">
        <v>0.31437379527245363</v>
      </c>
      <c r="Z23" s="47">
        <v>0.33539081906317358</v>
      </c>
      <c r="AA23" s="47">
        <v>0.35790339226043438</v>
      </c>
      <c r="AB23" s="48">
        <v>0.37165143305509779</v>
      </c>
      <c r="AC23" s="50">
        <v>-4.7723935389131084E-3</v>
      </c>
      <c r="AD23" s="51">
        <v>3.6894273127753556E-2</v>
      </c>
      <c r="AE23" s="51">
        <v>7.856093979442022E-2</v>
      </c>
      <c r="AF23" s="51">
        <v>0.12022760646108688</v>
      </c>
      <c r="AG23" s="51">
        <v>0.16189427312775354</v>
      </c>
      <c r="AH23" s="51">
        <v>0.20356093979442019</v>
      </c>
      <c r="AI23" s="51">
        <v>0.24522760646108685</v>
      </c>
      <c r="AJ23" s="51">
        <v>0.28689427312775351</v>
      </c>
      <c r="AK23" s="51">
        <v>0.32856093979442019</v>
      </c>
      <c r="AL23" s="51">
        <v>0.37022760646108688</v>
      </c>
      <c r="AM23" s="51">
        <v>0.41189427312775356</v>
      </c>
      <c r="AN23" s="52">
        <v>0.45356093979442025</v>
      </c>
      <c r="AO23" s="50">
        <v>0.49522760646108693</v>
      </c>
      <c r="AP23" s="51">
        <v>0.53689427312775362</v>
      </c>
      <c r="AQ23" s="51">
        <v>0.57856093979442025</v>
      </c>
      <c r="AR23" s="51">
        <v>0.62022760646108688</v>
      </c>
      <c r="AS23" s="51">
        <v>0.66189427312775351</v>
      </c>
      <c r="AT23" s="51">
        <v>0.70356093979442014</v>
      </c>
      <c r="AU23" s="51">
        <v>0.74522760646108677</v>
      </c>
      <c r="AV23" s="51">
        <v>0.7868942731277534</v>
      </c>
      <c r="AW23" s="51">
        <v>0.82856093979442003</v>
      </c>
      <c r="AX23" s="51">
        <v>0.87022760646108666</v>
      </c>
      <c r="AY23" s="51">
        <v>0.91189427312775329</v>
      </c>
      <c r="AZ23" s="52">
        <v>1</v>
      </c>
    </row>
    <row r="24" spans="2:52" x14ac:dyDescent="0.25">
      <c r="B24" s="33" t="s">
        <v>21</v>
      </c>
      <c r="C24" s="61">
        <v>43397</v>
      </c>
      <c r="D24" s="61">
        <v>44112.601041976523</v>
      </c>
      <c r="E24" s="46">
        <v>0</v>
      </c>
      <c r="F24" s="47">
        <v>2.4996399599397413E-2</v>
      </c>
      <c r="G24" s="47">
        <v>4.3849569477360531E-2</v>
      </c>
      <c r="H24" s="47">
        <v>6.3156357935464702E-2</v>
      </c>
      <c r="I24" s="47">
        <v>9.3251989030306667E-2</v>
      </c>
      <c r="J24" s="47">
        <v>0.10311780823080868</v>
      </c>
      <c r="K24" s="47">
        <v>0.1189823283890544</v>
      </c>
      <c r="L24" s="47">
        <v>0.13956186110699628</v>
      </c>
      <c r="M24" s="47">
        <v>0.16715737230890232</v>
      </c>
      <c r="N24" s="47">
        <v>0.18962187717938114</v>
      </c>
      <c r="O24" s="47">
        <v>0.20015817924706425</v>
      </c>
      <c r="P24" s="48">
        <v>0.20724502020187799</v>
      </c>
      <c r="Q24" s="49">
        <v>0.21342661710331265</v>
      </c>
      <c r="R24" s="47">
        <v>0.23510649293089908</v>
      </c>
      <c r="S24" s="47">
        <v>0.24280353247324282</v>
      </c>
      <c r="T24" s="47">
        <v>0.24971585255905498</v>
      </c>
      <c r="U24" s="47">
        <v>0.25770979839882713</v>
      </c>
      <c r="V24" s="47">
        <v>0.27780941410601157</v>
      </c>
      <c r="W24" s="47">
        <v>0.29312884180028298</v>
      </c>
      <c r="X24" s="47">
        <v>0.3023750373593756</v>
      </c>
      <c r="Y24" s="47">
        <v>0.30269743832449048</v>
      </c>
      <c r="Z24" s="47">
        <v>0.32762953596211736</v>
      </c>
      <c r="AA24" s="47">
        <v>0.35355682607177408</v>
      </c>
      <c r="AB24" s="48">
        <v>0.38110204549404914</v>
      </c>
      <c r="AC24" s="50">
        <v>3.9191018510344282E-2</v>
      </c>
      <c r="AD24" s="51">
        <v>8.0857685177010946E-2</v>
      </c>
      <c r="AE24" s="51">
        <v>0.1225243518436776</v>
      </c>
      <c r="AF24" s="51">
        <v>0.16419101851034426</v>
      </c>
      <c r="AG24" s="51">
        <v>0.20585768517701092</v>
      </c>
      <c r="AH24" s="51">
        <v>0.24752435184367758</v>
      </c>
      <c r="AI24" s="51">
        <v>0.28919101851034423</v>
      </c>
      <c r="AJ24" s="51">
        <v>0.33085768517701092</v>
      </c>
      <c r="AK24" s="51">
        <v>0.3725243518436776</v>
      </c>
      <c r="AL24" s="51">
        <v>0.41419101851034429</v>
      </c>
      <c r="AM24" s="51">
        <v>0.45585768517701097</v>
      </c>
      <c r="AN24" s="52">
        <v>0.49752435184367766</v>
      </c>
      <c r="AO24" s="50">
        <v>0.53919101851034434</v>
      </c>
      <c r="AP24" s="51">
        <v>0.58085768517701097</v>
      </c>
      <c r="AQ24" s="51">
        <v>0.6225243518436776</v>
      </c>
      <c r="AR24" s="51">
        <v>0.66419101851034423</v>
      </c>
      <c r="AS24" s="51">
        <v>0.70585768517701086</v>
      </c>
      <c r="AT24" s="51">
        <v>0.74752435184367749</v>
      </c>
      <c r="AU24" s="51">
        <v>0.78919101851034412</v>
      </c>
      <c r="AV24" s="51">
        <v>0.83085768517701075</v>
      </c>
      <c r="AW24" s="51">
        <v>0.87252435184367738</v>
      </c>
      <c r="AX24" s="51">
        <v>0.91419101851034401</v>
      </c>
      <c r="AY24" s="51">
        <v>0.95585768517701064</v>
      </c>
      <c r="AZ24" s="52">
        <v>1</v>
      </c>
    </row>
    <row r="25" spans="2:52" x14ac:dyDescent="0.25">
      <c r="B25" s="33" t="s">
        <v>22</v>
      </c>
      <c r="C25" s="61">
        <v>43402</v>
      </c>
      <c r="D25" s="61">
        <v>44088.727294156924</v>
      </c>
      <c r="E25" s="46">
        <v>0</v>
      </c>
      <c r="F25" s="47">
        <v>1.6902541943661951E-2</v>
      </c>
      <c r="G25" s="47">
        <v>2.1969923778421545E-2</v>
      </c>
      <c r="H25" s="47">
        <v>2.6323142371658923E-2</v>
      </c>
      <c r="I25" s="47">
        <v>4.2966287825579277E-2</v>
      </c>
      <c r="J25" s="47">
        <v>5.3237184498945864E-2</v>
      </c>
      <c r="K25" s="47">
        <v>6.0068566197561388E-2</v>
      </c>
      <c r="L25" s="47">
        <v>6.5403891692097066E-2</v>
      </c>
      <c r="M25" s="47">
        <v>7.8333570246878356E-2</v>
      </c>
      <c r="N25" s="47">
        <v>9.8090089666720087E-2</v>
      </c>
      <c r="O25" s="47">
        <v>0.12814472086451323</v>
      </c>
      <c r="P25" s="48">
        <v>0.14268593058913567</v>
      </c>
      <c r="Q25" s="49">
        <v>0.16481873000669747</v>
      </c>
      <c r="R25" s="47">
        <v>0.16992334008856116</v>
      </c>
      <c r="S25" s="47">
        <v>0.18981787622840596</v>
      </c>
      <c r="T25" s="47">
        <v>0.1905074820861766</v>
      </c>
      <c r="U25" s="47">
        <v>0.19393572255860084</v>
      </c>
      <c r="V25" s="47">
        <v>0.20886075214616187</v>
      </c>
      <c r="W25" s="47">
        <v>0.21737327260283015</v>
      </c>
      <c r="X25" s="47">
        <v>0.23417158006157401</v>
      </c>
      <c r="Y25" s="47">
        <v>0.23721493233092536</v>
      </c>
      <c r="Z25" s="47">
        <v>0.25567805399778565</v>
      </c>
      <c r="AA25" s="47">
        <v>0.26483421784885958</v>
      </c>
      <c r="AB25" s="48">
        <v>0.28436055017284567</v>
      </c>
      <c r="AC25" s="50">
        <v>5.2394175187826818E-2</v>
      </c>
      <c r="AD25" s="51">
        <v>9.4060841854493482E-2</v>
      </c>
      <c r="AE25" s="51">
        <v>0.13572750852116014</v>
      </c>
      <c r="AF25" s="51">
        <v>0.1773941751878268</v>
      </c>
      <c r="AG25" s="51">
        <v>0.21906084185449345</v>
      </c>
      <c r="AH25" s="51">
        <v>0.26072750852116011</v>
      </c>
      <c r="AI25" s="51">
        <v>0.3023941751878268</v>
      </c>
      <c r="AJ25" s="51">
        <v>0.34406084185449348</v>
      </c>
      <c r="AK25" s="51">
        <v>0.38572750852116017</v>
      </c>
      <c r="AL25" s="51">
        <v>0.42739417518782685</v>
      </c>
      <c r="AM25" s="51">
        <v>0.46906084185449354</v>
      </c>
      <c r="AN25" s="52">
        <v>0.51072750852116022</v>
      </c>
      <c r="AO25" s="50">
        <v>0.55239417518782685</v>
      </c>
      <c r="AP25" s="51">
        <v>0.59406084185449348</v>
      </c>
      <c r="AQ25" s="51">
        <v>0.63572750852116011</v>
      </c>
      <c r="AR25" s="51">
        <v>0.67739417518782674</v>
      </c>
      <c r="AS25" s="51">
        <v>0.71906084185449337</v>
      </c>
      <c r="AT25" s="51">
        <v>0.76072750852116</v>
      </c>
      <c r="AU25" s="51">
        <v>0.80239417518782663</v>
      </c>
      <c r="AV25" s="51">
        <v>0.84406084185449326</v>
      </c>
      <c r="AW25" s="51">
        <v>0.88572750852115989</v>
      </c>
      <c r="AX25" s="51">
        <v>0.92739417518782652</v>
      </c>
      <c r="AY25" s="51">
        <v>0.96906084185449315</v>
      </c>
      <c r="AZ25" s="52">
        <v>1</v>
      </c>
    </row>
    <row r="26" spans="2:52" x14ac:dyDescent="0.25">
      <c r="B26" s="33" t="s">
        <v>23</v>
      </c>
      <c r="C26" s="61">
        <v>43375</v>
      </c>
      <c r="D26" s="61">
        <v>44164.872412030076</v>
      </c>
      <c r="E26" s="46">
        <v>0</v>
      </c>
      <c r="F26" s="47">
        <v>2.9404748072623253E-3</v>
      </c>
      <c r="G26" s="47">
        <v>2.4547420068536271E-2</v>
      </c>
      <c r="H26" s="47">
        <v>4.9157374447280563E-2</v>
      </c>
      <c r="I26" s="47">
        <v>7.1102956123608424E-2</v>
      </c>
      <c r="J26" s="47">
        <v>7.1868433350977867E-2</v>
      </c>
      <c r="K26" s="47">
        <v>8.6644555872600351E-2</v>
      </c>
      <c r="L26" s="47">
        <v>9.1452065041837852E-2</v>
      </c>
      <c r="M26" s="47">
        <v>9.7669302869667546E-2</v>
      </c>
      <c r="N26" s="47">
        <v>0.12240567119421075</v>
      </c>
      <c r="O26" s="47">
        <v>0.12361016078942003</v>
      </c>
      <c r="P26" s="48">
        <v>0.13507580146463471</v>
      </c>
      <c r="Q26" s="49">
        <v>0.15809620467911634</v>
      </c>
      <c r="R26" s="47">
        <v>0.16821686521151899</v>
      </c>
      <c r="S26" s="47">
        <v>0.17276618666441751</v>
      </c>
      <c r="T26" s="47">
        <v>0.1931481924447698</v>
      </c>
      <c r="U26" s="47">
        <v>0.20402161705407579</v>
      </c>
      <c r="V26" s="47">
        <v>0.20771287999984342</v>
      </c>
      <c r="W26" s="47">
        <v>0.23528453533038515</v>
      </c>
      <c r="X26" s="47">
        <v>0.2429066124205588</v>
      </c>
      <c r="Y26" s="47">
        <v>0.24425358644858397</v>
      </c>
      <c r="Z26" s="47">
        <v>0.26778229126872816</v>
      </c>
      <c r="AA26" s="47">
        <v>0.29328777220332364</v>
      </c>
      <c r="AB26" s="48">
        <v>0.3132775489750137</v>
      </c>
      <c r="AC26" s="50">
        <v>6.0606060606060962E-2</v>
      </c>
      <c r="AD26" s="51">
        <v>0.10227272727272763</v>
      </c>
      <c r="AE26" s="51">
        <v>0.14393939393939428</v>
      </c>
      <c r="AF26" s="51">
        <v>0.18560606060606094</v>
      </c>
      <c r="AG26" s="51">
        <v>0.2272727272727276</v>
      </c>
      <c r="AH26" s="51">
        <v>0.26893939393939426</v>
      </c>
      <c r="AI26" s="51">
        <v>0.31060606060606094</v>
      </c>
      <c r="AJ26" s="51">
        <v>0.35227272727272763</v>
      </c>
      <c r="AK26" s="51">
        <v>0.39393939393939431</v>
      </c>
      <c r="AL26" s="51">
        <v>0.435606060606061</v>
      </c>
      <c r="AM26" s="51">
        <v>0.47727272727272768</v>
      </c>
      <c r="AN26" s="52">
        <v>0.51893939393939437</v>
      </c>
      <c r="AO26" s="50">
        <v>0.560606060606061</v>
      </c>
      <c r="AP26" s="51">
        <v>0.60227272727272763</v>
      </c>
      <c r="AQ26" s="51">
        <v>0.64393939393939426</v>
      </c>
      <c r="AR26" s="51">
        <v>0.68560606060606089</v>
      </c>
      <c r="AS26" s="51">
        <v>0.72727272727272751</v>
      </c>
      <c r="AT26" s="51">
        <v>0.76893939393939414</v>
      </c>
      <c r="AU26" s="51">
        <v>0.81060606060606077</v>
      </c>
      <c r="AV26" s="51">
        <v>0.8522727272727274</v>
      </c>
      <c r="AW26" s="51">
        <v>0.89393939393939403</v>
      </c>
      <c r="AX26" s="51">
        <v>0.93560606060606066</v>
      </c>
      <c r="AY26" s="51">
        <v>0.97727272727272729</v>
      </c>
      <c r="AZ26" s="52">
        <v>1</v>
      </c>
    </row>
    <row r="27" spans="2:52" ht="15.75" thickBot="1" x14ac:dyDescent="0.3">
      <c r="B27" s="34" t="s">
        <v>24</v>
      </c>
      <c r="C27" s="62">
        <v>43396</v>
      </c>
      <c r="D27" s="62">
        <v>44053.73038042181</v>
      </c>
      <c r="E27" s="53">
        <v>0</v>
      </c>
      <c r="F27" s="54">
        <v>1.116140380696278E-2</v>
      </c>
      <c r="G27" s="54">
        <v>3.2044650365451136E-2</v>
      </c>
      <c r="H27" s="54">
        <v>3.4005774296305684E-2</v>
      </c>
      <c r="I27" s="54">
        <v>5.0211414505304738E-2</v>
      </c>
      <c r="J27" s="54">
        <v>5.2555796970269249E-2</v>
      </c>
      <c r="K27" s="54">
        <v>8.0228913457259562E-2</v>
      </c>
      <c r="L27" s="54">
        <v>0.10858063916317498</v>
      </c>
      <c r="M27" s="54">
        <v>0.1201702715004654</v>
      </c>
      <c r="N27" s="54">
        <v>0.12405489313773899</v>
      </c>
      <c r="O27" s="54">
        <v>0.14964671994110379</v>
      </c>
      <c r="P27" s="55">
        <v>0.15240621341389468</v>
      </c>
      <c r="Q27" s="56">
        <v>0.18236798760399447</v>
      </c>
      <c r="R27" s="54">
        <v>0.2074079699960733</v>
      </c>
      <c r="S27" s="54">
        <v>0.22117858473809185</v>
      </c>
      <c r="T27" s="54">
        <v>0.24495902694138369</v>
      </c>
      <c r="U27" s="54">
        <v>0.25186074878583681</v>
      </c>
      <c r="V27" s="54">
        <v>0.26316900665781662</v>
      </c>
      <c r="W27" s="54">
        <v>0.28011441325524705</v>
      </c>
      <c r="X27" s="54">
        <v>0.29233273030785911</v>
      </c>
      <c r="Y27" s="54">
        <v>0.31886310283052455</v>
      </c>
      <c r="Z27" s="54">
        <v>0.34081609443133498</v>
      </c>
      <c r="AA27" s="54">
        <v>0.35691518493246066</v>
      </c>
      <c r="AB27" s="55">
        <v>0.3805324628207995</v>
      </c>
      <c r="AC27" s="57">
        <v>6.6666666666666957E-2</v>
      </c>
      <c r="AD27" s="58">
        <v>0.10833333333333361</v>
      </c>
      <c r="AE27" s="58">
        <v>0.15000000000000027</v>
      </c>
      <c r="AF27" s="58">
        <v>0.19166666666666693</v>
      </c>
      <c r="AG27" s="58">
        <v>0.23333333333333359</v>
      </c>
      <c r="AH27" s="58">
        <v>0.27500000000000024</v>
      </c>
      <c r="AI27" s="58">
        <v>0.31666666666666693</v>
      </c>
      <c r="AJ27" s="58">
        <v>0.35833333333333361</v>
      </c>
      <c r="AK27" s="58">
        <v>0.4000000000000003</v>
      </c>
      <c r="AL27" s="58">
        <v>0.44166666666666698</v>
      </c>
      <c r="AM27" s="58">
        <v>0.48333333333333367</v>
      </c>
      <c r="AN27" s="59">
        <v>0.52500000000000036</v>
      </c>
      <c r="AO27" s="57">
        <v>0.56666666666666698</v>
      </c>
      <c r="AP27" s="58">
        <v>0.60833333333333361</v>
      </c>
      <c r="AQ27" s="58">
        <v>0.65000000000000024</v>
      </c>
      <c r="AR27" s="58">
        <v>0.69166666666666687</v>
      </c>
      <c r="AS27" s="58">
        <v>0.7333333333333335</v>
      </c>
      <c r="AT27" s="58">
        <v>0.77500000000000013</v>
      </c>
      <c r="AU27" s="58">
        <v>0.81666666666666676</v>
      </c>
      <c r="AV27" s="58">
        <v>0.85833333333333339</v>
      </c>
      <c r="AW27" s="58">
        <v>0.9</v>
      </c>
      <c r="AX27" s="58">
        <v>0.94166666666666665</v>
      </c>
      <c r="AY27" s="58">
        <v>0.98333333333333328</v>
      </c>
      <c r="AZ27" s="59">
        <v>1</v>
      </c>
    </row>
    <row r="28" spans="2:52" x14ac:dyDescent="0.25"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</row>
    <row r="29" spans="2:52" x14ac:dyDescent="0.25"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</row>
    <row r="30" spans="2:52" x14ac:dyDescent="0.25"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</row>
    <row r="31" spans="2:52" x14ac:dyDescent="0.25"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</row>
    <row r="32" spans="2:52" x14ac:dyDescent="0.25"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</row>
    <row r="33" spans="6:28" x14ac:dyDescent="0.25"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</row>
    <row r="34" spans="6:28" x14ac:dyDescent="0.25"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</row>
    <row r="35" spans="6:28" x14ac:dyDescent="0.25"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</row>
    <row r="36" spans="6:28" x14ac:dyDescent="0.25"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</row>
    <row r="37" spans="6:28" x14ac:dyDescent="0.25"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</row>
    <row r="38" spans="6:28" x14ac:dyDescent="0.25"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</row>
    <row r="39" spans="6:28" x14ac:dyDescent="0.25"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</row>
    <row r="40" spans="6:28" x14ac:dyDescent="0.25"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</row>
    <row r="41" spans="6:28" x14ac:dyDescent="0.25"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</row>
    <row r="42" spans="6:28" x14ac:dyDescent="0.25"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</row>
    <row r="43" spans="6:28" x14ac:dyDescent="0.25"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</row>
    <row r="44" spans="6:28" x14ac:dyDescent="0.25"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</row>
    <row r="45" spans="6:28" x14ac:dyDescent="0.25"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</row>
    <row r="46" spans="6:28" x14ac:dyDescent="0.25"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</row>
    <row r="47" spans="6:28" x14ac:dyDescent="0.25"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</row>
    <row r="48" spans="6:28" x14ac:dyDescent="0.25"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</row>
    <row r="49" spans="6:28" x14ac:dyDescent="0.25"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</row>
    <row r="50" spans="6:28" x14ac:dyDescent="0.25"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</row>
    <row r="51" spans="6:28" x14ac:dyDescent="0.25"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</row>
    <row r="52" spans="6:28" x14ac:dyDescent="0.25"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</row>
    <row r="53" spans="6:28" x14ac:dyDescent="0.25"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</row>
    <row r="54" spans="6:28" x14ac:dyDescent="0.25"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</row>
    <row r="55" spans="6:28" x14ac:dyDescent="0.25"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</row>
    <row r="56" spans="6:28" x14ac:dyDescent="0.25"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</row>
    <row r="57" spans="6:28" x14ac:dyDescent="0.25"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</row>
    <row r="58" spans="6:28" x14ac:dyDescent="0.25"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</row>
    <row r="59" spans="6:28" x14ac:dyDescent="0.25"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</row>
    <row r="60" spans="6:28" x14ac:dyDescent="0.25"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</row>
    <row r="61" spans="6:28" x14ac:dyDescent="0.25"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</row>
    <row r="62" spans="6:28" x14ac:dyDescent="0.25"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</row>
    <row r="63" spans="6:28" x14ac:dyDescent="0.25"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</row>
    <row r="64" spans="6:28" x14ac:dyDescent="0.25"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</row>
    <row r="65" spans="6:28" x14ac:dyDescent="0.25"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</row>
    <row r="66" spans="6:28" x14ac:dyDescent="0.25"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</row>
    <row r="67" spans="6:28" x14ac:dyDescent="0.25"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</row>
    <row r="68" spans="6:28" x14ac:dyDescent="0.25"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</row>
    <row r="69" spans="6:28" x14ac:dyDescent="0.25"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</row>
    <row r="70" spans="6:28" x14ac:dyDescent="0.25"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</row>
    <row r="71" spans="6:28" x14ac:dyDescent="0.25"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</row>
    <row r="72" spans="6:28" x14ac:dyDescent="0.25"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</row>
    <row r="73" spans="6:28" x14ac:dyDescent="0.25"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</row>
    <row r="74" spans="6:28" x14ac:dyDescent="0.25"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</row>
    <row r="75" spans="6:28" x14ac:dyDescent="0.25"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</row>
    <row r="76" spans="6:28" x14ac:dyDescent="0.25"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</row>
    <row r="77" spans="6:28" x14ac:dyDescent="0.25"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</row>
    <row r="78" spans="6:28" x14ac:dyDescent="0.25"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</row>
    <row r="79" spans="6:28" x14ac:dyDescent="0.25"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</row>
    <row r="80" spans="6:28" x14ac:dyDescent="0.25"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</row>
    <row r="81" spans="6:28" x14ac:dyDescent="0.25"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</row>
    <row r="82" spans="6:28" x14ac:dyDescent="0.25"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</row>
    <row r="83" spans="6:28" x14ac:dyDescent="0.25"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</row>
    <row r="84" spans="6:28" x14ac:dyDescent="0.25"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</row>
    <row r="85" spans="6:28" x14ac:dyDescent="0.25"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</row>
    <row r="86" spans="6:28" x14ac:dyDescent="0.25"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</row>
    <row r="87" spans="6:28" x14ac:dyDescent="0.25"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</row>
    <row r="88" spans="6:28" x14ac:dyDescent="0.25"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</row>
    <row r="89" spans="6:28" x14ac:dyDescent="0.25"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</row>
    <row r="90" spans="6:28" x14ac:dyDescent="0.25"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</row>
    <row r="91" spans="6:28" x14ac:dyDescent="0.25"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</row>
    <row r="92" spans="6:28" x14ac:dyDescent="0.25"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</row>
    <row r="93" spans="6:28" x14ac:dyDescent="0.25"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</row>
    <row r="94" spans="6:28" x14ac:dyDescent="0.25"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</row>
    <row r="95" spans="6:28" x14ac:dyDescent="0.25"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</row>
    <row r="96" spans="6:28" x14ac:dyDescent="0.25"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</row>
    <row r="97" spans="6:28" x14ac:dyDescent="0.25"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</row>
    <row r="98" spans="6:28" x14ac:dyDescent="0.25"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</row>
    <row r="99" spans="6:28" x14ac:dyDescent="0.25"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</row>
    <row r="100" spans="6:28" x14ac:dyDescent="0.25"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</row>
    <row r="101" spans="6:28" x14ac:dyDescent="0.25"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</row>
    <row r="102" spans="6:28" x14ac:dyDescent="0.25"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</row>
    <row r="103" spans="6:28" x14ac:dyDescent="0.25"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</row>
    <row r="104" spans="6:28" x14ac:dyDescent="0.25"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</row>
    <row r="105" spans="6:28" x14ac:dyDescent="0.25"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</row>
    <row r="106" spans="6:28" x14ac:dyDescent="0.25"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</row>
    <row r="107" spans="6:28" x14ac:dyDescent="0.25"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</row>
    <row r="108" spans="6:28" x14ac:dyDescent="0.25"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</row>
    <row r="109" spans="6:28" x14ac:dyDescent="0.25"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</row>
    <row r="110" spans="6:28" x14ac:dyDescent="0.25"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</row>
    <row r="111" spans="6:28" x14ac:dyDescent="0.25"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</row>
    <row r="112" spans="6:28" x14ac:dyDescent="0.25"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</row>
    <row r="113" spans="6:28" x14ac:dyDescent="0.25"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</row>
    <row r="114" spans="6:28" x14ac:dyDescent="0.25"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</row>
    <row r="115" spans="6:28" x14ac:dyDescent="0.25"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</row>
    <row r="116" spans="6:28" x14ac:dyDescent="0.25"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</row>
    <row r="117" spans="6:28" x14ac:dyDescent="0.25"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</row>
    <row r="118" spans="6:28" x14ac:dyDescent="0.25"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</row>
    <row r="119" spans="6:28" x14ac:dyDescent="0.25"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</row>
    <row r="120" spans="6:28" x14ac:dyDescent="0.25"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</row>
    <row r="121" spans="6:28" x14ac:dyDescent="0.25"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</row>
  </sheetData>
  <mergeCells count="2">
    <mergeCell ref="AC1:AZ1"/>
    <mergeCell ref="E1:A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363-E7D6-4601-9AFD-957C085F8D16}">
  <sheetPr codeName="Sheet2"/>
  <dimension ref="B1:U55"/>
  <sheetViews>
    <sheetView tabSelected="1" workbookViewId="0">
      <selection activeCell="B16" sqref="B16"/>
    </sheetView>
  </sheetViews>
  <sheetFormatPr defaultRowHeight="15" x14ac:dyDescent="0.25"/>
  <cols>
    <col min="2" max="2" width="29.28515625" customWidth="1"/>
    <col min="8" max="8" width="11.7109375" customWidth="1"/>
    <col min="9" max="9" width="13" customWidth="1"/>
    <col min="10" max="10" width="13" bestFit="1" customWidth="1"/>
    <col min="11" max="15" width="13.140625" bestFit="1" customWidth="1"/>
    <col min="16" max="16" width="13.28515625" bestFit="1" customWidth="1"/>
    <col min="17" max="18" width="13.140625" bestFit="1" customWidth="1"/>
    <col min="19" max="19" width="13.28515625" bestFit="1" customWidth="1"/>
    <col min="20" max="20" width="12.85546875" customWidth="1"/>
  </cols>
  <sheetData>
    <row r="1" spans="2:3" x14ac:dyDescent="0.25">
      <c r="B1" s="15" t="s">
        <v>26</v>
      </c>
    </row>
    <row r="2" spans="2:3" x14ac:dyDescent="0.25">
      <c r="B2" s="16" t="s">
        <v>23</v>
      </c>
      <c r="C2" s="17">
        <v>43435</v>
      </c>
    </row>
    <row r="31" spans="5:20" ht="20.25" x14ac:dyDescent="0.25">
      <c r="E31" s="18"/>
      <c r="F31" s="18"/>
      <c r="G31" s="18"/>
      <c r="H31" s="19"/>
      <c r="I31" s="20">
        <f>I43</f>
        <v>43101</v>
      </c>
      <c r="J31" s="20">
        <f t="shared" ref="J31:T31" si="0">J43</f>
        <v>43132</v>
      </c>
      <c r="K31" s="20">
        <f t="shared" si="0"/>
        <v>43160</v>
      </c>
      <c r="L31" s="20">
        <f t="shared" si="0"/>
        <v>43191</v>
      </c>
      <c r="M31" s="20">
        <f t="shared" si="0"/>
        <v>43221</v>
      </c>
      <c r="N31" s="20">
        <f t="shared" si="0"/>
        <v>43252</v>
      </c>
      <c r="O31" s="20">
        <f t="shared" si="0"/>
        <v>43282</v>
      </c>
      <c r="P31" s="20">
        <f t="shared" si="0"/>
        <v>43313</v>
      </c>
      <c r="Q31" s="20">
        <f t="shared" si="0"/>
        <v>43344</v>
      </c>
      <c r="R31" s="20">
        <f t="shared" si="0"/>
        <v>43374</v>
      </c>
      <c r="S31" s="20">
        <f t="shared" si="0"/>
        <v>43405</v>
      </c>
      <c r="T31" s="20">
        <f t="shared" si="0"/>
        <v>43435</v>
      </c>
    </row>
    <row r="32" spans="5:20" ht="20.25" x14ac:dyDescent="0.3">
      <c r="E32" s="21" t="str">
        <f>H44</f>
        <v>Actual</v>
      </c>
      <c r="F32" s="21"/>
      <c r="G32" s="21"/>
      <c r="H32" s="21"/>
      <c r="I32" s="22">
        <f>I44</f>
        <v>0</v>
      </c>
      <c r="J32" s="22">
        <f t="shared" ref="J32:T33" si="1">J44</f>
        <v>2.9404748072623253E-3</v>
      </c>
      <c r="K32" s="22">
        <f t="shared" si="1"/>
        <v>2.4547420068536271E-2</v>
      </c>
      <c r="L32" s="22">
        <f t="shared" si="1"/>
        <v>4.9157374447280563E-2</v>
      </c>
      <c r="M32" s="22">
        <f t="shared" si="1"/>
        <v>7.1102956123608424E-2</v>
      </c>
      <c r="N32" s="22">
        <f t="shared" si="1"/>
        <v>7.1868433350977867E-2</v>
      </c>
      <c r="O32" s="22">
        <f t="shared" si="1"/>
        <v>8.6644555872600351E-2</v>
      </c>
      <c r="P32" s="22">
        <f t="shared" si="1"/>
        <v>9.1452065041837852E-2</v>
      </c>
      <c r="Q32" s="22">
        <f t="shared" si="1"/>
        <v>9.7669302869667546E-2</v>
      </c>
      <c r="R32" s="22">
        <f t="shared" si="1"/>
        <v>0.12240567119421075</v>
      </c>
      <c r="S32" s="22">
        <f t="shared" si="1"/>
        <v>0.12361016078942003</v>
      </c>
      <c r="T32" s="22">
        <f t="shared" si="1"/>
        <v>0.13507580146463471</v>
      </c>
    </row>
    <row r="33" spans="2:21" ht="20.25" x14ac:dyDescent="0.3">
      <c r="E33" s="21" t="str">
        <f>H45</f>
        <v>Planned</v>
      </c>
      <c r="F33" s="21"/>
      <c r="G33" s="21"/>
      <c r="H33" s="21"/>
      <c r="I33" s="22">
        <f>I45</f>
        <v>0.2272727272727276</v>
      </c>
      <c r="J33" s="22">
        <f t="shared" si="1"/>
        <v>0.26893939393939426</v>
      </c>
      <c r="K33" s="22">
        <f t="shared" si="1"/>
        <v>0.31060606060606094</v>
      </c>
      <c r="L33" s="22">
        <f t="shared" si="1"/>
        <v>0.35227272727272763</v>
      </c>
      <c r="M33" s="22">
        <f t="shared" si="1"/>
        <v>0.39393939393939431</v>
      </c>
      <c r="N33" s="22">
        <f t="shared" si="1"/>
        <v>0.435606060606061</v>
      </c>
      <c r="O33" s="22">
        <f t="shared" si="1"/>
        <v>0.47727272727272768</v>
      </c>
      <c r="P33" s="22">
        <f t="shared" si="1"/>
        <v>0.51893939393939437</v>
      </c>
      <c r="Q33" s="22">
        <f t="shared" si="1"/>
        <v>0.560606060606061</v>
      </c>
      <c r="R33" s="22">
        <f t="shared" si="1"/>
        <v>0.60227272727272763</v>
      </c>
      <c r="S33" s="22">
        <f t="shared" si="1"/>
        <v>0.64393939393939426</v>
      </c>
      <c r="T33" s="22">
        <f t="shared" si="1"/>
        <v>0.68560606060606089</v>
      </c>
    </row>
    <row r="38" spans="2:21" x14ac:dyDescent="0.25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</row>
    <row r="39" spans="2:21" x14ac:dyDescent="0.25">
      <c r="B39" s="23"/>
      <c r="C39" s="23"/>
      <c r="D39" s="23"/>
      <c r="E39" s="23"/>
      <c r="F39" s="23"/>
      <c r="G39" s="23"/>
      <c r="H39" s="23"/>
      <c r="I39" s="15" t="str">
        <f>Data!B2</f>
        <v>Product Name</v>
      </c>
      <c r="J39" s="35" t="str">
        <f>Data!C2</f>
        <v>Planned Finish Date</v>
      </c>
      <c r="K39" s="35" t="str">
        <f>Data!D2</f>
        <v>Forcasted Finish Date</v>
      </c>
      <c r="L39" s="35" t="str">
        <f>Data!E1</f>
        <v>Actual</v>
      </c>
      <c r="M39" s="35" t="str">
        <f>Data!AC1</f>
        <v>Planned</v>
      </c>
      <c r="N39" s="35" t="s">
        <v>34</v>
      </c>
      <c r="O39" s="23"/>
      <c r="P39" s="23"/>
      <c r="Q39" s="23"/>
      <c r="R39" s="23"/>
      <c r="S39" s="23"/>
      <c r="T39" s="23"/>
      <c r="U39" s="23"/>
    </row>
    <row r="40" spans="2:21" x14ac:dyDescent="0.25">
      <c r="B40" s="23"/>
      <c r="C40" s="23"/>
      <c r="D40" s="23"/>
      <c r="E40" s="23"/>
      <c r="F40" s="36">
        <f>C2</f>
        <v>43435</v>
      </c>
      <c r="G40" s="23"/>
      <c r="H40" s="23"/>
      <c r="I40" s="16" t="str">
        <f>$B$2</f>
        <v>Product 24</v>
      </c>
      <c r="J40" s="25">
        <f>VLOOKUP(I40,Data!B3:D27,2,FALSE)</f>
        <v>43375</v>
      </c>
      <c r="K40" s="25">
        <f>VLOOKUP(I40,Data!B3:D27,3,FALSE)</f>
        <v>44164.872412030076</v>
      </c>
      <c r="L40" s="26">
        <f>T32</f>
        <v>0.13507580146463471</v>
      </c>
      <c r="M40" s="26">
        <f>T33</f>
        <v>0.68560606060606089</v>
      </c>
      <c r="N40" s="26">
        <f>1-L40</f>
        <v>0.86492419853536529</v>
      </c>
      <c r="O40" s="23"/>
      <c r="P40" s="23"/>
      <c r="Q40" s="23"/>
      <c r="R40" s="23"/>
      <c r="S40" s="23"/>
      <c r="T40" s="23"/>
      <c r="U40" s="23"/>
    </row>
    <row r="41" spans="2:21" x14ac:dyDescent="0.25">
      <c r="B41" s="23"/>
      <c r="C41" s="24" t="s">
        <v>27</v>
      </c>
      <c r="D41" s="23"/>
      <c r="E41" s="23"/>
      <c r="F41" s="29">
        <f>MATCH($F$40,Data!E2:AB2,0)</f>
        <v>12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</row>
    <row r="42" spans="2:21" x14ac:dyDescent="0.25">
      <c r="B42" s="23"/>
      <c r="C42" s="23" t="s">
        <v>28</v>
      </c>
      <c r="D42" s="23"/>
      <c r="E42" s="23"/>
      <c r="F42" s="30">
        <f>COUNTA(Data!B2:D2)</f>
        <v>3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2:21" x14ac:dyDescent="0.25">
      <c r="B43" s="23"/>
      <c r="C43" s="23" t="s">
        <v>29</v>
      </c>
      <c r="D43" s="23"/>
      <c r="E43" s="23"/>
      <c r="F43" s="23">
        <f>COUNTA([1]Historic!$G$2:$AH$2)</f>
        <v>28</v>
      </c>
      <c r="G43" s="23"/>
      <c r="H43" s="23"/>
      <c r="I43" s="37">
        <f>VLOOKUP(Data!B2,Data!B2:AB2, F42+F41-11,FALSE)</f>
        <v>43101</v>
      </c>
      <c r="J43" s="37">
        <f>VLOOKUP(Data!B2,Data!B2:AB3, $F$42+$F$41-10,FALSE)</f>
        <v>43132</v>
      </c>
      <c r="K43" s="37">
        <f>VLOOKUP(Data!B2,Data!B2:AB3, $F$42+$F$41-9,FALSE)</f>
        <v>43160</v>
      </c>
      <c r="L43" s="37">
        <f>VLOOKUP(Data!B2,Data!B2:AB3, $F$42+$F$41-8,FALSE)</f>
        <v>43191</v>
      </c>
      <c r="M43" s="37">
        <f>VLOOKUP(Data!B2,Data!B2:AB3, $F$42+$F$41-7,FALSE)</f>
        <v>43221</v>
      </c>
      <c r="N43" s="37">
        <f>VLOOKUP(Data!B2,Data!B2:AB3, $F$42+$F$41-6,FALSE)</f>
        <v>43252</v>
      </c>
      <c r="O43" s="37">
        <f>VLOOKUP(Data!B2,Data!B2:AB3, $F$42+$F$41-5,FALSE)</f>
        <v>43282</v>
      </c>
      <c r="P43" s="37">
        <f>VLOOKUP(Data!B2,Data!B2:AB3, $F$42+$F$41-4,FALSE)</f>
        <v>43313</v>
      </c>
      <c r="Q43" s="37">
        <f>VLOOKUP(Data!B2,Data!B2:AB3, $F$42+$F$41-3,FALSE)</f>
        <v>43344</v>
      </c>
      <c r="R43" s="37">
        <f>VLOOKUP(Data!B2,Data!B2:AB3, $F$42+$F$41-2,FALSE)</f>
        <v>43374</v>
      </c>
      <c r="S43" s="37">
        <f>VLOOKUP(Data!B2,Data!B2:AB3, $F$42+$F$41-1,FALSE)</f>
        <v>43405</v>
      </c>
      <c r="T43" s="37">
        <f>VLOOKUP(Data!B2,Data!B2:AB3, F42+F41,FALSE)</f>
        <v>43435</v>
      </c>
      <c r="U43" s="23"/>
    </row>
    <row r="44" spans="2:21" x14ac:dyDescent="0.25">
      <c r="B44" s="23"/>
      <c r="C44" s="23"/>
      <c r="D44" s="23"/>
      <c r="E44" s="23"/>
      <c r="F44" s="23"/>
      <c r="G44" s="23"/>
      <c r="H44" s="31" t="str">
        <f>Data!E1</f>
        <v>Actual</v>
      </c>
      <c r="I44" s="38">
        <f>VLOOKUP(I40,Data!B3:AZ27, $F$42+$F$41-11,FALSE)</f>
        <v>0</v>
      </c>
      <c r="J44" s="38">
        <f>VLOOKUP($I$40,Data!B2:$DN$111, $F$42+$F$41-10,FALSE)</f>
        <v>2.9404748072623253E-3</v>
      </c>
      <c r="K44" s="38">
        <f>VLOOKUP($I$40,Data!B2:$DN$111, $F$42+$F$41-9,FALSE)</f>
        <v>2.4547420068536271E-2</v>
      </c>
      <c r="L44" s="38">
        <f>VLOOKUP($I$40,Data!B2:$DN$111, $F$42+$F$41-8,FALSE)</f>
        <v>4.9157374447280563E-2</v>
      </c>
      <c r="M44" s="38">
        <f>VLOOKUP($I$40,Data!B2:$DN$111, $F$42+$F$41-7,FALSE)</f>
        <v>7.1102956123608424E-2</v>
      </c>
      <c r="N44" s="38">
        <f>VLOOKUP($I$40,Data!B2:$DN$111, $F$42+$F$41-6,FALSE)</f>
        <v>7.1868433350977867E-2</v>
      </c>
      <c r="O44" s="38">
        <f>VLOOKUP($I$40,Data!B2:$DN$111, $F$42+$F$41-5,FALSE)</f>
        <v>8.6644555872600351E-2</v>
      </c>
      <c r="P44" s="38">
        <f>VLOOKUP($I$40,Data!B2:$DN$111, $F$42+$F$41-4,FALSE)</f>
        <v>9.1452065041837852E-2</v>
      </c>
      <c r="Q44" s="38">
        <f>VLOOKUP($I$40,Data!B2:$DN$111, $F$42+$F$41-3,FALSE)</f>
        <v>9.7669302869667546E-2</v>
      </c>
      <c r="R44" s="38">
        <f>VLOOKUP($I$40,Data!B2:$DN$111, $F$42+$F$41-2,FALSE)</f>
        <v>0.12240567119421075</v>
      </c>
      <c r="S44" s="38">
        <f>VLOOKUP($I$40,Data!B2:$DN$111, $F$42+$F$41-1,FALSE)</f>
        <v>0.12361016078942003</v>
      </c>
      <c r="T44" s="38">
        <f>VLOOKUP($I$40,Data!B2:$DN$111, $F$42+$F$41,FALSE)</f>
        <v>0.13507580146463471</v>
      </c>
      <c r="U44" s="23"/>
    </row>
    <row r="45" spans="2:21" x14ac:dyDescent="0.25">
      <c r="B45" s="23"/>
      <c r="C45" s="23"/>
      <c r="D45" s="23"/>
      <c r="E45" s="23"/>
      <c r="F45" s="23"/>
      <c r="G45" s="23"/>
      <c r="H45" s="31" t="str">
        <f>Data!AC1</f>
        <v>Planned</v>
      </c>
      <c r="I45" s="38">
        <f>VLOOKUP($I$40,Data!B2:$DN$111, $F$42+ $F$43+$F$41-11,FALSE)</f>
        <v>0.2272727272727276</v>
      </c>
      <c r="J45" s="38">
        <f>VLOOKUP($I$40,Data!B2:$DN$111, $F$42+ $F$43+$F$41-10,FALSE)</f>
        <v>0.26893939393939426</v>
      </c>
      <c r="K45" s="38">
        <f>VLOOKUP($I$40,Data!B2:$DN$111, $F$42+ $F$43+$F$41-9,FALSE)</f>
        <v>0.31060606060606094</v>
      </c>
      <c r="L45" s="38">
        <f>VLOOKUP($I$40,Data!B2:$DN$111, $F$42+ $F$43+$F$41-8,FALSE)</f>
        <v>0.35227272727272763</v>
      </c>
      <c r="M45" s="38">
        <f>VLOOKUP($I$40,Data!B2:$DN$111, $F$42+ $F$43+$F$41-7,FALSE)</f>
        <v>0.39393939393939431</v>
      </c>
      <c r="N45" s="38">
        <f>VLOOKUP($I$40,Data!B2:$DN$111, $F$42+ $F$43+$F$41-6,FALSE)</f>
        <v>0.435606060606061</v>
      </c>
      <c r="O45" s="38">
        <f>VLOOKUP($I$40,Data!B2:$DN$111, $F$42+ $F$43+$F$41-5,FALSE)</f>
        <v>0.47727272727272768</v>
      </c>
      <c r="P45" s="38">
        <f>VLOOKUP($I$40,Data!B2:$DN$111, $F$42+ $F$43+$F$41-4,FALSE)</f>
        <v>0.51893939393939437</v>
      </c>
      <c r="Q45" s="38">
        <f>VLOOKUP($I$40,Data!B2:$DN$111, $F$42+ $F$43+$F$41-3,FALSE)</f>
        <v>0.560606060606061</v>
      </c>
      <c r="R45" s="38">
        <f>VLOOKUP($I$40,Data!B2:$DN$111, $F$42+ $F$43+$F$41-2,FALSE)</f>
        <v>0.60227272727272763</v>
      </c>
      <c r="S45" s="38">
        <f>VLOOKUP($I$40,Data!B2:$DN$111, $F$42+ $F$43+$F$41-1,FALSE)</f>
        <v>0.64393939393939426</v>
      </c>
      <c r="T45" s="38">
        <f>VLOOKUP($I$40,Data!B2:$DN$111, $F$42+ $F$43+$F$41,FALSE)</f>
        <v>0.68560606060606089</v>
      </c>
      <c r="U45" s="23"/>
    </row>
    <row r="46" spans="2:21" x14ac:dyDescent="0.25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</row>
    <row r="47" spans="2:21" x14ac:dyDescent="0.25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</row>
    <row r="48" spans="2:21" x14ac:dyDescent="0.25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</row>
    <row r="49" spans="2:21" x14ac:dyDescent="0.2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</row>
    <row r="52" spans="2:21" x14ac:dyDescent="0.25">
      <c r="H52" s="27">
        <f>$C$2</f>
        <v>43435</v>
      </c>
    </row>
    <row r="53" spans="2:21" x14ac:dyDescent="0.25">
      <c r="E53" s="28" t="s">
        <v>27</v>
      </c>
      <c r="H53">
        <f>MATCH($H$52,Data!$E$2:$AB$2,0)</f>
        <v>12</v>
      </c>
    </row>
    <row r="54" spans="2:21" x14ac:dyDescent="0.25">
      <c r="E54" t="s">
        <v>28</v>
      </c>
      <c r="H54">
        <f>COUNTA(Data!B2)</f>
        <v>1</v>
      </c>
    </row>
    <row r="55" spans="2:21" x14ac:dyDescent="0.25">
      <c r="E55" t="s">
        <v>29</v>
      </c>
      <c r="H55">
        <f>COUNTA(Data!$E$2:$AB$2)</f>
        <v>24</v>
      </c>
    </row>
  </sheetData>
  <mergeCells count="3">
    <mergeCell ref="E31:H31"/>
    <mergeCell ref="E32:H32"/>
    <mergeCell ref="E33:H3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850F3C-D414-4E2D-812A-3C1DCBDAC194}">
          <x14:formula1>
            <xm:f>Data!$P$2:$AB$2</xm:f>
          </x14:formula1>
          <xm:sqref>C2</xm:sqref>
        </x14:dataValidation>
        <x14:dataValidation type="list" allowBlank="1" showInputMessage="1" showErrorMessage="1" error="You have to choose valid building name" prompt="Choose Building Name" xr:uid="{3DA68BD0-DA2D-4C48-8F16-8E2BC09DAF9B}">
          <x14:formula1>
            <xm:f>Data!$B$3:$B$27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F71C-19FE-44E6-999D-A0EDD997E2D8}">
  <sheetPr codeName="Sheet3"/>
  <dimension ref="A1"/>
  <sheetViews>
    <sheetView workbookViewId="0">
      <selection activeCell="B15" sqref="B1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52C4E8-9D71-4E70-8935-948B089DEFE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ElTalkhawy</dc:creator>
  <cp:lastModifiedBy>Ahmed ElTalkhawy</cp:lastModifiedBy>
  <dcterms:created xsi:type="dcterms:W3CDTF">2019-10-13T10:31:08Z</dcterms:created>
  <dcterms:modified xsi:type="dcterms:W3CDTF">2019-12-08T11:22:42Z</dcterms:modified>
</cp:coreProperties>
</file>